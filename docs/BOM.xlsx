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k/CLionProjects/stm32-digital-potentiometer-v2/docs/"/>
    </mc:Choice>
  </mc:AlternateContent>
  <xr:revisionPtr revIDLastSave="0" documentId="13_ncr:1_{25E726D0-1BA3-2F4A-A66C-20AAE32465B2}" xr6:coauthVersionLast="47" xr6:coauthVersionMax="47" xr10:uidLastSave="{00000000-0000-0000-0000-000000000000}"/>
  <bookViews>
    <workbookView xWindow="38400" yWindow="600" windowWidth="38400" windowHeight="21000" xr2:uid="{B0D79F4F-D64C-8947-A2F8-5FC1821B31E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 l="1"/>
</calcChain>
</file>

<file path=xl/sharedStrings.xml><?xml version="1.0" encoding="utf-8"?>
<sst xmlns="http://schemas.openxmlformats.org/spreadsheetml/2006/main" count="64" uniqueCount="56">
  <si>
    <t>Designator</t>
  </si>
  <si>
    <t>Price</t>
  </si>
  <si>
    <t>Comment</t>
  </si>
  <si>
    <t>Footprint</t>
  </si>
  <si>
    <t>JLCPCB Part#</t>
  </si>
  <si>
    <t>Count</t>
  </si>
  <si>
    <t>Total</t>
  </si>
  <si>
    <t>C94085</t>
  </si>
  <si>
    <t>STM32L031K6T6</t>
  </si>
  <si>
    <t>LQFP-32(7x7)</t>
  </si>
  <si>
    <t>C1852032</t>
  </si>
  <si>
    <t>VSSOP-10-0.5mm</t>
  </si>
  <si>
    <t>C284992</t>
  </si>
  <si>
    <t>0201</t>
  </si>
  <si>
    <t>0603</t>
  </si>
  <si>
    <t>C1691</t>
  </si>
  <si>
    <t>C41381677</t>
  </si>
  <si>
    <t>SOT-23-5L</t>
  </si>
  <si>
    <t>C2909692</t>
  </si>
  <si>
    <t>SMD</t>
  </si>
  <si>
    <t>Push buttons</t>
  </si>
  <si>
    <t>MIC5205 Voltage Regulator</t>
  </si>
  <si>
    <t>DAC80501</t>
  </si>
  <si>
    <t>10K Resistor</t>
  </si>
  <si>
    <t>LED Red</t>
  </si>
  <si>
    <t>C7496803</t>
  </si>
  <si>
    <t>0402</t>
  </si>
  <si>
    <t>LED Green</t>
  </si>
  <si>
    <t>C74338</t>
  </si>
  <si>
    <t>C17646</t>
  </si>
  <si>
    <t>360 Resistor</t>
  </si>
  <si>
    <t>4.7uF Tantalum</t>
  </si>
  <si>
    <t>CASE-A-3216-18(mm)</t>
  </si>
  <si>
    <t>C128330</t>
  </si>
  <si>
    <t>470pF Ceramic</t>
  </si>
  <si>
    <t>C1537</t>
  </si>
  <si>
    <t>C87361</t>
  </si>
  <si>
    <t>SOIC-8</t>
  </si>
  <si>
    <t>1K Resistor</t>
  </si>
  <si>
    <t>C11702</t>
  </si>
  <si>
    <t>1uF Ceramic (DAC parallel)</t>
  </si>
  <si>
    <t>C52923</t>
  </si>
  <si>
    <t>10uF Ceramic</t>
  </si>
  <si>
    <t>100nF Ceramic</t>
  </si>
  <si>
    <t>10uF Electrolytic</t>
  </si>
  <si>
    <t>C18221490</t>
  </si>
  <si>
    <t>SMD,D4xL5.4mm</t>
  </si>
  <si>
    <t>OPA2134 (OP-Amp) (100nF Ceramic, 10uF Electroytic VDD; 100pF ceramic R2)</t>
  </si>
  <si>
    <t>100pF Ceramic</t>
  </si>
  <si>
    <t>C1546</t>
  </si>
  <si>
    <t>C47117536</t>
  </si>
  <si>
    <t>SOT-23</t>
  </si>
  <si>
    <t>LM4040CIM3X-2.5-TP Voltage Reference</t>
  </si>
  <si>
    <t>C2906885</t>
  </si>
  <si>
    <t>3K Resistor</t>
  </si>
  <si>
    <t>C304604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</si>
</sst>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\ * #,##0.00_);_([$€-2]\ * \(#,##0.00\);_([$€-2]\ * &quot;-&quot;??_);_(@_)"/>
  </numFmts>
  <fonts count="3" x14ac:knownFonts="1">
    <font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1CBF3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7C7AC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164" fontId="0" fillId="3" borderId="1" xfId="0" applyNumberFormat="1" applyFill="1" applyBorder="1"/>
    <xf numFmtId="0" fontId="0" fillId="4" borderId="1" xfId="0" applyFill="1" applyBorder="1"/>
    <xf numFmtId="1" fontId="0" fillId="4" borderId="1" xfId="0" applyNumberFormat="1" applyFill="1" applyBorder="1"/>
    <xf numFmtId="164" fontId="0" fillId="4" borderId="1" xfId="0" applyNumberFormat="1" applyFill="1" applyBorder="1"/>
    <xf numFmtId="0" fontId="2" fillId="5" borderId="1" xfId="0" applyFont="1" applyFill="1" applyBorder="1"/>
    <xf numFmtId="164" fontId="2" fillId="6" borderId="2" xfId="0" applyNumberFormat="1" applyFont="1" applyFill="1" applyBorder="1"/>
    <xf numFmtId="164" fontId="2" fillId="7" borderId="2" xfId="0" applyNumberFormat="1" applyFont="1" applyFill="1" applyBorder="1"/>
    <xf numFmtId="2" fontId="0" fillId="2" borderId="1" xfId="0" applyNumberFormat="1" applyFill="1" applyBorder="1"/>
    <xf numFmtId="2" fontId="0" fillId="3" borderId="1" xfId="0" applyNumberFormat="1" applyFill="1" applyBorder="1"/>
    <xf numFmtId="2" fontId="0" fillId="4" borderId="1" xfId="0" applyNumberFormat="1" applyFill="1" applyBorder="1"/>
    <xf numFmtId="2" fontId="0" fillId="0" borderId="0" xfId="0" applyNumberFormat="1"/>
    <xf numFmtId="49" fontId="0" fillId="3" borderId="1" xfId="0" applyNumberFormat="1" applyFill="1" applyBorder="1"/>
    <xf numFmtId="49" fontId="0" fillId="3" borderId="1" xfId="0" applyNumberForma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8666D-370A-2E4E-89F1-92B7DC6A7AF4}">
  <dimension ref="A1:G23"/>
  <sheetViews>
    <sheetView tabSelected="1" zoomScale="130" zoomScaleNormal="130" workbookViewId="0">
      <selection activeCell="F21" sqref="F21"/>
    </sheetView>
  </sheetViews>
  <sheetFormatPr baseColWidth="10" defaultRowHeight="16" x14ac:dyDescent="0.2"/>
  <cols>
    <col min="1" max="1" width="70" customWidth="1"/>
    <col min="3" max="3" width="19.33203125" bestFit="1" customWidth="1"/>
    <col min="4" max="4" width="17" customWidth="1"/>
    <col min="5" max="5" width="12.1640625" style="14" bestFit="1" customWidth="1"/>
  </cols>
  <sheetData>
    <row r="1" spans="1:7" x14ac:dyDescent="0.2">
      <c r="A1" s="1" t="s">
        <v>2</v>
      </c>
      <c r="B1" s="2" t="s">
        <v>0</v>
      </c>
      <c r="C1" s="2" t="s">
        <v>3</v>
      </c>
      <c r="D1" s="2" t="s">
        <v>4</v>
      </c>
      <c r="E1" s="11" t="s">
        <v>5</v>
      </c>
      <c r="F1" s="8" t="s">
        <v>1</v>
      </c>
      <c r="G1" s="8" t="s">
        <v>6</v>
      </c>
    </row>
    <row r="2" spans="1:7" x14ac:dyDescent="0.2">
      <c r="A2" s="3" t="s">
        <v>8</v>
      </c>
      <c r="B2" s="3"/>
      <c r="C2" s="15" t="s">
        <v>9</v>
      </c>
      <c r="D2" s="4" t="s">
        <v>7</v>
      </c>
      <c r="E2" s="12">
        <v>1</v>
      </c>
      <c r="F2" s="9">
        <v>1.48</v>
      </c>
      <c r="G2" s="9">
        <f>E2*F2</f>
        <v>1.48</v>
      </c>
    </row>
    <row r="3" spans="1:7" ht="17" x14ac:dyDescent="0.2">
      <c r="A3" s="3" t="s">
        <v>22</v>
      </c>
      <c r="B3" s="3"/>
      <c r="C3" s="16" t="s">
        <v>11</v>
      </c>
      <c r="D3" s="4" t="s">
        <v>10</v>
      </c>
      <c r="E3" s="12">
        <v>1</v>
      </c>
      <c r="F3" s="9">
        <v>4.75</v>
      </c>
      <c r="G3" s="9">
        <f t="shared" ref="G3:G22" si="0">E3*F3</f>
        <v>4.75</v>
      </c>
    </row>
    <row r="4" spans="1:7" x14ac:dyDescent="0.2">
      <c r="A4" s="3" t="s">
        <v>43</v>
      </c>
      <c r="B4" s="3"/>
      <c r="C4" s="15" t="s">
        <v>13</v>
      </c>
      <c r="D4" s="4" t="s">
        <v>12</v>
      </c>
      <c r="E4" s="12">
        <v>5</v>
      </c>
      <c r="F4" s="9">
        <v>0.01</v>
      </c>
      <c r="G4" s="9">
        <f t="shared" si="0"/>
        <v>0.05</v>
      </c>
    </row>
    <row r="5" spans="1:7" x14ac:dyDescent="0.2">
      <c r="A5" s="3" t="s">
        <v>42</v>
      </c>
      <c r="B5" s="3"/>
      <c r="C5" s="15" t="s">
        <v>14</v>
      </c>
      <c r="D5" s="4" t="s">
        <v>15</v>
      </c>
      <c r="E5" s="12">
        <v>3</v>
      </c>
      <c r="F5" s="9">
        <v>0.01</v>
      </c>
      <c r="G5" s="9">
        <f t="shared" si="0"/>
        <v>0.03</v>
      </c>
    </row>
    <row r="6" spans="1:7" x14ac:dyDescent="0.2">
      <c r="A6" s="3" t="s">
        <v>21</v>
      </c>
      <c r="B6" s="3"/>
      <c r="C6" s="15" t="s">
        <v>17</v>
      </c>
      <c r="D6" s="4" t="s">
        <v>16</v>
      </c>
      <c r="E6" s="12">
        <v>1</v>
      </c>
      <c r="F6" s="9">
        <v>0.11</v>
      </c>
      <c r="G6" s="9">
        <f t="shared" si="0"/>
        <v>0.11</v>
      </c>
    </row>
    <row r="7" spans="1:7" x14ac:dyDescent="0.2">
      <c r="A7" s="3" t="s">
        <v>20</v>
      </c>
      <c r="B7" s="3"/>
      <c r="C7" s="15" t="s">
        <v>19</v>
      </c>
      <c r="D7" s="4" t="s">
        <v>18</v>
      </c>
      <c r="E7" s="12">
        <v>2</v>
      </c>
      <c r="F7" s="9">
        <v>0.08</v>
      </c>
      <c r="G7" s="9">
        <f t="shared" si="0"/>
        <v>0.16</v>
      </c>
    </row>
    <row r="8" spans="1:7" x14ac:dyDescent="0.2">
      <c r="A8" s="3" t="s">
        <v>23</v>
      </c>
      <c r="B8" s="3"/>
      <c r="C8" s="15" t="s">
        <v>26</v>
      </c>
      <c r="D8" s="4" t="s">
        <v>53</v>
      </c>
      <c r="E8" s="12">
        <v>4</v>
      </c>
      <c r="F8" s="9">
        <v>0.01</v>
      </c>
      <c r="G8" s="9">
        <f t="shared" si="0"/>
        <v>0.04</v>
      </c>
    </row>
    <row r="9" spans="1:7" x14ac:dyDescent="0.2">
      <c r="A9" s="3" t="s">
        <v>24</v>
      </c>
      <c r="B9" s="3"/>
      <c r="C9" s="15" t="s">
        <v>26</v>
      </c>
      <c r="D9" s="4" t="s">
        <v>25</v>
      </c>
      <c r="E9" s="12">
        <v>1</v>
      </c>
      <c r="F9" s="9">
        <v>0.01</v>
      </c>
      <c r="G9" s="9">
        <f t="shared" si="0"/>
        <v>0.01</v>
      </c>
    </row>
    <row r="10" spans="1:7" x14ac:dyDescent="0.2">
      <c r="A10" s="3" t="s">
        <v>27</v>
      </c>
      <c r="B10" s="3"/>
      <c r="C10" s="15" t="s">
        <v>26</v>
      </c>
      <c r="D10" s="4" t="s">
        <v>28</v>
      </c>
      <c r="E10" s="12">
        <v>1</v>
      </c>
      <c r="F10" s="9">
        <v>0.04</v>
      </c>
      <c r="G10" s="9">
        <f t="shared" si="0"/>
        <v>0.04</v>
      </c>
    </row>
    <row r="11" spans="1:7" x14ac:dyDescent="0.2">
      <c r="A11" s="3" t="s">
        <v>30</v>
      </c>
      <c r="B11" s="3"/>
      <c r="C11" s="15" t="s">
        <v>14</v>
      </c>
      <c r="D11" s="4" t="s">
        <v>29</v>
      </c>
      <c r="E11" s="12">
        <v>3</v>
      </c>
      <c r="F11" s="9">
        <v>0.01</v>
      </c>
      <c r="G11" s="9">
        <f t="shared" si="0"/>
        <v>0.03</v>
      </c>
    </row>
    <row r="12" spans="1:7" x14ac:dyDescent="0.2">
      <c r="A12" s="3" t="s">
        <v>31</v>
      </c>
      <c r="B12" s="3"/>
      <c r="C12" s="15" t="s">
        <v>32</v>
      </c>
      <c r="D12" s="4" t="s">
        <v>33</v>
      </c>
      <c r="E12" s="12">
        <v>1</v>
      </c>
      <c r="F12" s="9">
        <v>7.0000000000000007E-2</v>
      </c>
      <c r="G12" s="9">
        <f t="shared" si="0"/>
        <v>7.0000000000000007E-2</v>
      </c>
    </row>
    <row r="13" spans="1:7" x14ac:dyDescent="0.2">
      <c r="A13" s="3" t="s">
        <v>34</v>
      </c>
      <c r="B13" s="3"/>
      <c r="C13" s="15" t="s">
        <v>26</v>
      </c>
      <c r="D13" s="4" t="s">
        <v>35</v>
      </c>
      <c r="E13" s="12">
        <v>2</v>
      </c>
      <c r="F13" s="9">
        <v>0.01</v>
      </c>
      <c r="G13" s="9">
        <f t="shared" si="0"/>
        <v>0.02</v>
      </c>
    </row>
    <row r="14" spans="1:7" x14ac:dyDescent="0.2">
      <c r="A14" s="3" t="s">
        <v>47</v>
      </c>
      <c r="B14" s="3"/>
      <c r="C14" s="15" t="s">
        <v>37</v>
      </c>
      <c r="D14" s="4" t="s">
        <v>36</v>
      </c>
      <c r="E14" s="12">
        <v>1</v>
      </c>
      <c r="F14" s="9">
        <v>1.65</v>
      </c>
      <c r="G14" s="9">
        <f t="shared" si="0"/>
        <v>1.65</v>
      </c>
    </row>
    <row r="15" spans="1:7" x14ac:dyDescent="0.2">
      <c r="A15" s="3" t="s">
        <v>38</v>
      </c>
      <c r="B15" s="3"/>
      <c r="C15" s="15" t="s">
        <v>26</v>
      </c>
      <c r="D15" s="4" t="s">
        <v>39</v>
      </c>
      <c r="E15" s="12">
        <v>1</v>
      </c>
      <c r="F15" s="9">
        <v>0.01</v>
      </c>
      <c r="G15" s="9">
        <f t="shared" si="0"/>
        <v>0.01</v>
      </c>
    </row>
    <row r="16" spans="1:7" x14ac:dyDescent="0.2">
      <c r="A16" s="3" t="s">
        <v>54</v>
      </c>
      <c r="B16" s="3"/>
      <c r="C16" s="15" t="s">
        <v>26</v>
      </c>
      <c r="D16" s="4" t="s">
        <v>55</v>
      </c>
      <c r="E16" s="12">
        <v>1</v>
      </c>
      <c r="F16" s="9">
        <v>0.01</v>
      </c>
      <c r="G16" s="9">
        <f t="shared" si="0"/>
        <v>0.01</v>
      </c>
    </row>
    <row r="17" spans="1:7" x14ac:dyDescent="0.2">
      <c r="A17" s="3" t="s">
        <v>40</v>
      </c>
      <c r="B17" s="3"/>
      <c r="C17" s="15" t="s">
        <v>26</v>
      </c>
      <c r="D17" s="4" t="s">
        <v>41</v>
      </c>
      <c r="E17" s="12">
        <v>1</v>
      </c>
      <c r="F17" s="9">
        <v>0.01</v>
      </c>
      <c r="G17" s="9">
        <f t="shared" si="0"/>
        <v>0.01</v>
      </c>
    </row>
    <row r="18" spans="1:7" x14ac:dyDescent="0.2">
      <c r="A18" s="3" t="s">
        <v>44</v>
      </c>
      <c r="B18" s="3"/>
      <c r="C18" s="15" t="s">
        <v>46</v>
      </c>
      <c r="D18" s="4" t="s">
        <v>45</v>
      </c>
      <c r="E18" s="12">
        <v>1</v>
      </c>
      <c r="F18" s="9">
        <v>0.01</v>
      </c>
      <c r="G18" s="9">
        <f t="shared" si="0"/>
        <v>0.01</v>
      </c>
    </row>
    <row r="19" spans="1:7" x14ac:dyDescent="0.2">
      <c r="A19" s="3" t="s">
        <v>48</v>
      </c>
      <c r="B19" s="3"/>
      <c r="C19" s="15" t="s">
        <v>26</v>
      </c>
      <c r="D19" s="4" t="s">
        <v>49</v>
      </c>
      <c r="E19" s="12">
        <v>1</v>
      </c>
      <c r="F19" s="9">
        <v>0.01</v>
      </c>
      <c r="G19" s="9">
        <f t="shared" si="0"/>
        <v>0.01</v>
      </c>
    </row>
    <row r="20" spans="1:7" x14ac:dyDescent="0.2">
      <c r="A20" s="3" t="s">
        <v>52</v>
      </c>
      <c r="B20" s="3"/>
      <c r="C20" s="15" t="s">
        <v>51</v>
      </c>
      <c r="D20" s="4" t="s">
        <v>50</v>
      </c>
      <c r="E20" s="12">
        <v>1</v>
      </c>
      <c r="F20" s="9">
        <v>0.17</v>
      </c>
      <c r="G20" s="9">
        <f t="shared" si="0"/>
        <v>0.17</v>
      </c>
    </row>
    <row r="21" spans="1:7" x14ac:dyDescent="0.2">
      <c r="A21" s="3"/>
      <c r="B21" s="3"/>
      <c r="C21" s="15"/>
      <c r="D21" s="4"/>
      <c r="E21" s="12"/>
      <c r="F21" s="9"/>
      <c r="G21" s="9">
        <f t="shared" si="0"/>
        <v>0</v>
      </c>
    </row>
    <row r="22" spans="1:7" x14ac:dyDescent="0.2">
      <c r="A22" s="3"/>
      <c r="B22" s="3"/>
      <c r="C22" s="15"/>
      <c r="D22" s="4"/>
      <c r="E22" s="12"/>
      <c r="F22" s="9"/>
      <c r="G22" s="9">
        <f t="shared" si="0"/>
        <v>0</v>
      </c>
    </row>
    <row r="23" spans="1:7" x14ac:dyDescent="0.2">
      <c r="A23" s="5"/>
      <c r="B23" s="5"/>
      <c r="C23" s="6"/>
      <c r="D23" s="7"/>
      <c r="E23" s="13"/>
      <c r="F23" s="10"/>
      <c r="G23" s="10">
        <f>SUM(G2:G22)</f>
        <v>8.66</v>
      </c>
    </row>
  </sheetData>
  <pageMargins left="0.7" right="0.7" top="0.75" bottom="0.75" header="0.3" footer="0.3"/>
  <ignoredErrors>
    <ignoredError sqref="C15:C17 C8:C11 C4:C5 C1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Kaloyan Stefanov</dc:creator>
  <cp:lastModifiedBy>Kaloyan Stefanov</cp:lastModifiedBy>
  <dcterms:created xsi:type="dcterms:W3CDTF">2026-03-29T17:44:15Z</dcterms:created>
  <dcterms:modified xsi:type="dcterms:W3CDTF">2026-03-30T19:35:49Z</dcterms:modified>
</cp:coreProperties>
</file>