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defaultThemeVersion="124226"/>
  <workbookProtection workbookPassword="DADE" lockStructure="1"/>
  <bookViews>
    <workbookView xWindow="360" yWindow="555" windowWidth="11400" windowHeight="7425"/>
  </bookViews>
  <sheets>
    <sheet name="ShuntCalc" sheetId="1" r:id="rId1"/>
    <sheet name="Rs" sheetId="4" state="hidden" r:id="rId2"/>
  </sheets>
  <calcPr calcId="145621"/>
</workbook>
</file>

<file path=xl/calcChain.xml><?xml version="1.0" encoding="utf-8"?>
<calcChain xmlns="http://schemas.openxmlformats.org/spreadsheetml/2006/main">
  <c r="L24" i="1" l="1"/>
  <c r="G22" i="1" l="1"/>
  <c r="G23" i="1" l="1"/>
  <c r="G21" i="1"/>
  <c r="Q33" i="1" s="1"/>
  <c r="Q29" i="1"/>
  <c r="Q27" i="1"/>
  <c r="Q26" i="1"/>
  <c r="Q25" i="1"/>
  <c r="S21" i="1" l="1"/>
  <c r="R21" i="1"/>
  <c r="G30" i="1" l="1"/>
  <c r="M28" i="1" l="1"/>
  <c r="M26" i="1"/>
  <c r="L21" i="1"/>
  <c r="G28" i="1" l="1"/>
  <c r="L3" i="4"/>
  <c r="M3" i="4" s="1"/>
  <c r="N3" i="4" s="1"/>
  <c r="O3" i="4" s="1"/>
  <c r="P3" i="4" s="1"/>
  <c r="L4" i="4"/>
  <c r="M4" i="4" s="1"/>
  <c r="N4" i="4" s="1"/>
  <c r="O4" i="4" s="1"/>
  <c r="P4" i="4" s="1"/>
  <c r="L5" i="4"/>
  <c r="M5" i="4"/>
  <c r="N5" i="4" s="1"/>
  <c r="O5" i="4" s="1"/>
  <c r="P5" i="4" s="1"/>
  <c r="L6" i="4"/>
  <c r="M6" i="4" s="1"/>
  <c r="N6" i="4" s="1"/>
  <c r="O6" i="4" s="1"/>
  <c r="P6" i="4" s="1"/>
  <c r="L7" i="4"/>
  <c r="M7" i="4" s="1"/>
  <c r="N7" i="4" s="1"/>
  <c r="O7" i="4" s="1"/>
  <c r="P7" i="4" s="1"/>
  <c r="L8" i="4"/>
  <c r="M8" i="4" s="1"/>
  <c r="N8" i="4" s="1"/>
  <c r="O8" i="4" s="1"/>
  <c r="P8" i="4" s="1"/>
  <c r="L9" i="4"/>
  <c r="M9" i="4"/>
  <c r="N9" i="4" s="1"/>
  <c r="O9" i="4" s="1"/>
  <c r="P9" i="4" s="1"/>
  <c r="L10" i="4"/>
  <c r="M10" i="4" s="1"/>
  <c r="N10" i="4" s="1"/>
  <c r="O10" i="4" s="1"/>
  <c r="P10" i="4" s="1"/>
  <c r="L11" i="4"/>
  <c r="M11" i="4" s="1"/>
  <c r="N11" i="4" s="1"/>
  <c r="O11" i="4" s="1"/>
  <c r="P11" i="4" s="1"/>
  <c r="L12" i="4"/>
  <c r="M12" i="4" s="1"/>
  <c r="N12" i="4" s="1"/>
  <c r="O12" i="4" s="1"/>
  <c r="P12" i="4" s="1"/>
  <c r="L13" i="4"/>
  <c r="M13" i="4"/>
  <c r="N13" i="4" s="1"/>
  <c r="O13" i="4" s="1"/>
  <c r="P13" i="4" s="1"/>
  <c r="L14" i="4"/>
  <c r="M14" i="4" s="1"/>
  <c r="N14" i="4" s="1"/>
  <c r="O14" i="4" s="1"/>
  <c r="P14" i="4" s="1"/>
  <c r="L15" i="4"/>
  <c r="M15" i="4" s="1"/>
  <c r="N15" i="4" s="1"/>
  <c r="O15" i="4" s="1"/>
  <c r="P15" i="4" s="1"/>
  <c r="L16" i="4"/>
  <c r="M16" i="4" s="1"/>
  <c r="N16" i="4" s="1"/>
  <c r="O16" i="4" s="1"/>
  <c r="P16" i="4" s="1"/>
  <c r="L17" i="4"/>
  <c r="M17" i="4"/>
  <c r="N17" i="4" s="1"/>
  <c r="O17" i="4" s="1"/>
  <c r="P17" i="4" s="1"/>
  <c r="L18" i="4"/>
  <c r="M18" i="4" s="1"/>
  <c r="N18" i="4" s="1"/>
  <c r="O18" i="4" s="1"/>
  <c r="P18" i="4" s="1"/>
  <c r="L19" i="4"/>
  <c r="M19" i="4" s="1"/>
  <c r="N19" i="4" s="1"/>
  <c r="O19" i="4" s="1"/>
  <c r="P19" i="4" s="1"/>
  <c r="L20" i="4"/>
  <c r="M20" i="4" s="1"/>
  <c r="N20" i="4" s="1"/>
  <c r="O20" i="4" s="1"/>
  <c r="P20" i="4" s="1"/>
  <c r="L21" i="4"/>
  <c r="M21" i="4"/>
  <c r="N21" i="4" s="1"/>
  <c r="O21" i="4" s="1"/>
  <c r="P21" i="4" s="1"/>
  <c r="L22" i="4"/>
  <c r="M22" i="4" s="1"/>
  <c r="N22" i="4" s="1"/>
  <c r="O22" i="4" s="1"/>
  <c r="P22" i="4" s="1"/>
  <c r="L23" i="4"/>
  <c r="M23" i="4" s="1"/>
  <c r="N23" i="4" s="1"/>
  <c r="O23" i="4" s="1"/>
  <c r="P23" i="4" s="1"/>
  <c r="L24" i="4"/>
  <c r="M24" i="4" s="1"/>
  <c r="N24" i="4" s="1"/>
  <c r="O24" i="4" s="1"/>
  <c r="P24" i="4" s="1"/>
  <c r="L25" i="4"/>
  <c r="M25" i="4"/>
  <c r="N25" i="4" s="1"/>
  <c r="O25" i="4" s="1"/>
  <c r="P25" i="4" s="1"/>
  <c r="L26" i="4"/>
  <c r="M26" i="4" s="1"/>
  <c r="N26" i="4" s="1"/>
  <c r="O26" i="4" s="1"/>
  <c r="P26" i="4" s="1"/>
  <c r="L27" i="4"/>
  <c r="M27" i="4" s="1"/>
  <c r="N27" i="4" s="1"/>
  <c r="O27" i="4" s="1"/>
  <c r="P27" i="4" s="1"/>
  <c r="L28" i="4"/>
  <c r="M28" i="4" s="1"/>
  <c r="N28" i="4" s="1"/>
  <c r="O28" i="4" s="1"/>
  <c r="P28" i="4" s="1"/>
  <c r="L29" i="4"/>
  <c r="M29" i="4"/>
  <c r="N29" i="4" s="1"/>
  <c r="O29" i="4" s="1"/>
  <c r="P29" i="4" s="1"/>
  <c r="L30" i="4"/>
  <c r="M30" i="4" s="1"/>
  <c r="N30" i="4" s="1"/>
  <c r="O30" i="4" s="1"/>
  <c r="P30" i="4" s="1"/>
  <c r="L31" i="4"/>
  <c r="M31" i="4" s="1"/>
  <c r="N31" i="4" s="1"/>
  <c r="O31" i="4" s="1"/>
  <c r="P31" i="4" s="1"/>
  <c r="L32" i="4"/>
  <c r="M32" i="4" s="1"/>
  <c r="N32" i="4" s="1"/>
  <c r="O32" i="4" s="1"/>
  <c r="P32" i="4" s="1"/>
  <c r="L33" i="4"/>
  <c r="M33" i="4"/>
  <c r="N33" i="4" s="1"/>
  <c r="O33" i="4" s="1"/>
  <c r="P33" i="4" s="1"/>
  <c r="L34" i="4"/>
  <c r="M34" i="4" s="1"/>
  <c r="N34" i="4" s="1"/>
  <c r="O34" i="4" s="1"/>
  <c r="P34" i="4" s="1"/>
  <c r="L35" i="4"/>
  <c r="M35" i="4" s="1"/>
  <c r="N35" i="4" s="1"/>
  <c r="O35" i="4" s="1"/>
  <c r="P35" i="4" s="1"/>
  <c r="L36" i="4"/>
  <c r="M36" i="4" s="1"/>
  <c r="N36" i="4" s="1"/>
  <c r="O36" i="4" s="1"/>
  <c r="P36" i="4" s="1"/>
  <c r="L37" i="4"/>
  <c r="M37" i="4" s="1"/>
  <c r="N37" i="4" s="1"/>
  <c r="O37" i="4" s="1"/>
  <c r="P37" i="4" s="1"/>
  <c r="L38" i="4"/>
  <c r="M38" i="4" s="1"/>
  <c r="N38" i="4" s="1"/>
  <c r="O38" i="4" s="1"/>
  <c r="P38" i="4" s="1"/>
  <c r="L39" i="4"/>
  <c r="M39" i="4" s="1"/>
  <c r="N39" i="4" s="1"/>
  <c r="O39" i="4" s="1"/>
  <c r="P39" i="4" s="1"/>
  <c r="L40" i="4"/>
  <c r="M40" i="4" s="1"/>
  <c r="N40" i="4" s="1"/>
  <c r="O40" i="4" s="1"/>
  <c r="P40" i="4" s="1"/>
  <c r="L41" i="4"/>
  <c r="M41" i="4" s="1"/>
  <c r="N41" i="4" s="1"/>
  <c r="O41" i="4" s="1"/>
  <c r="P41" i="4" s="1"/>
  <c r="L42" i="4"/>
  <c r="M42" i="4" s="1"/>
  <c r="N42" i="4" s="1"/>
  <c r="O42" i="4" s="1"/>
  <c r="P42" i="4" s="1"/>
  <c r="L43" i="4"/>
  <c r="M43" i="4" s="1"/>
  <c r="N43" i="4" s="1"/>
  <c r="O43" i="4" s="1"/>
  <c r="P43" i="4" s="1"/>
  <c r="L44" i="4"/>
  <c r="M44" i="4"/>
  <c r="N44" i="4" s="1"/>
  <c r="O44" i="4" s="1"/>
  <c r="P44" i="4" s="1"/>
  <c r="L45" i="4"/>
  <c r="M45" i="4" s="1"/>
  <c r="N45" i="4" s="1"/>
  <c r="O45" i="4" s="1"/>
  <c r="P45" i="4" s="1"/>
  <c r="L46" i="4"/>
  <c r="M46" i="4" s="1"/>
  <c r="N46" i="4" s="1"/>
  <c r="O46" i="4" s="1"/>
  <c r="P46" i="4" s="1"/>
  <c r="L47" i="4"/>
  <c r="M47" i="4" s="1"/>
  <c r="N47" i="4" s="1"/>
  <c r="O47" i="4" s="1"/>
  <c r="P47" i="4" s="1"/>
  <c r="L48" i="4"/>
  <c r="M48" i="4"/>
  <c r="N48" i="4" s="1"/>
  <c r="O48" i="4" s="1"/>
  <c r="P48" i="4" s="1"/>
  <c r="L49" i="4"/>
  <c r="M49" i="4" s="1"/>
  <c r="N49" i="4" s="1"/>
  <c r="O49" i="4" s="1"/>
  <c r="P49" i="4" s="1"/>
  <c r="L50" i="4"/>
  <c r="M50" i="4" s="1"/>
  <c r="N50" i="4" s="1"/>
  <c r="O50" i="4" s="1"/>
  <c r="P50" i="4" s="1"/>
  <c r="L51" i="4"/>
  <c r="M51" i="4" s="1"/>
  <c r="N51" i="4" s="1"/>
  <c r="O51" i="4" s="1"/>
  <c r="P51" i="4" s="1"/>
  <c r="L52" i="4"/>
  <c r="M52" i="4"/>
  <c r="N52" i="4" s="1"/>
  <c r="O52" i="4" s="1"/>
  <c r="P52" i="4" s="1"/>
  <c r="L53" i="4"/>
  <c r="M53" i="4" s="1"/>
  <c r="N53" i="4" s="1"/>
  <c r="O53" i="4" s="1"/>
  <c r="P53" i="4" s="1"/>
  <c r="L54" i="4"/>
  <c r="M54" i="4" s="1"/>
  <c r="N54" i="4" s="1"/>
  <c r="O54" i="4" s="1"/>
  <c r="P54" i="4" s="1"/>
  <c r="L55" i="4"/>
  <c r="M55" i="4" s="1"/>
  <c r="N55" i="4" s="1"/>
  <c r="O55" i="4" s="1"/>
  <c r="P55" i="4" s="1"/>
  <c r="L56" i="4"/>
  <c r="M56" i="4" s="1"/>
  <c r="N56" i="4" s="1"/>
  <c r="O56" i="4" s="1"/>
  <c r="P56" i="4" s="1"/>
  <c r="L57" i="4"/>
  <c r="M57" i="4" s="1"/>
  <c r="N57" i="4" s="1"/>
  <c r="O57" i="4" s="1"/>
  <c r="P57" i="4" s="1"/>
  <c r="L58" i="4"/>
  <c r="M58" i="4" s="1"/>
  <c r="N58" i="4" s="1"/>
  <c r="O58" i="4" s="1"/>
  <c r="P58" i="4" s="1"/>
  <c r="L59" i="4"/>
  <c r="M59" i="4" s="1"/>
  <c r="N59" i="4" s="1"/>
  <c r="O59" i="4" s="1"/>
  <c r="P59" i="4" s="1"/>
  <c r="L60" i="4"/>
  <c r="M60" i="4"/>
  <c r="N60" i="4" s="1"/>
  <c r="O60" i="4" s="1"/>
  <c r="P60" i="4" s="1"/>
  <c r="L61" i="4"/>
  <c r="M61" i="4" s="1"/>
  <c r="N61" i="4" s="1"/>
  <c r="O61" i="4" s="1"/>
  <c r="P61" i="4" s="1"/>
  <c r="L62" i="4"/>
  <c r="M62" i="4" s="1"/>
  <c r="N62" i="4" s="1"/>
  <c r="O62" i="4" s="1"/>
  <c r="P62" i="4" s="1"/>
  <c r="L63" i="4"/>
  <c r="M63" i="4" s="1"/>
  <c r="N63" i="4" s="1"/>
  <c r="O63" i="4" s="1"/>
  <c r="P63" i="4" s="1"/>
  <c r="L64" i="4"/>
  <c r="M64" i="4"/>
  <c r="N64" i="4" s="1"/>
  <c r="O64" i="4" s="1"/>
  <c r="P64" i="4" s="1"/>
  <c r="L65" i="4"/>
  <c r="M65" i="4" s="1"/>
  <c r="N65" i="4" s="1"/>
  <c r="O65" i="4" s="1"/>
  <c r="P65" i="4" s="1"/>
  <c r="L66" i="4"/>
  <c r="M66" i="4" s="1"/>
  <c r="N66" i="4" s="1"/>
  <c r="O66" i="4" s="1"/>
  <c r="P66" i="4" s="1"/>
  <c r="L67" i="4"/>
  <c r="M67" i="4" s="1"/>
  <c r="N67" i="4" s="1"/>
  <c r="O67" i="4" s="1"/>
  <c r="P67" i="4" s="1"/>
  <c r="L68" i="4"/>
  <c r="M68" i="4"/>
  <c r="N68" i="4" s="1"/>
  <c r="O68" i="4" s="1"/>
  <c r="P68" i="4" s="1"/>
  <c r="L69" i="4"/>
  <c r="M69" i="4" s="1"/>
  <c r="N69" i="4" s="1"/>
  <c r="O69" i="4" s="1"/>
  <c r="P69" i="4" s="1"/>
  <c r="L70" i="4"/>
  <c r="M70" i="4" s="1"/>
  <c r="N70" i="4" s="1"/>
  <c r="O70" i="4" s="1"/>
  <c r="P70" i="4" s="1"/>
  <c r="L71" i="4"/>
  <c r="M71" i="4" s="1"/>
  <c r="N71" i="4" s="1"/>
  <c r="O71" i="4" s="1"/>
  <c r="P71" i="4" s="1"/>
  <c r="L72" i="4"/>
  <c r="M72" i="4" s="1"/>
  <c r="N72" i="4" s="1"/>
  <c r="O72" i="4" s="1"/>
  <c r="P72" i="4" s="1"/>
  <c r="L73" i="4"/>
  <c r="M73" i="4" s="1"/>
  <c r="N73" i="4" s="1"/>
  <c r="O73" i="4" s="1"/>
  <c r="P73" i="4" s="1"/>
  <c r="L74" i="4"/>
  <c r="M74" i="4" s="1"/>
  <c r="N74" i="4" s="1"/>
  <c r="O74" i="4" s="1"/>
  <c r="P74" i="4" s="1"/>
  <c r="L75" i="4"/>
  <c r="M75" i="4" s="1"/>
  <c r="N75" i="4" s="1"/>
  <c r="O75" i="4" s="1"/>
  <c r="P75" i="4" s="1"/>
  <c r="L76" i="4"/>
  <c r="M76" i="4"/>
  <c r="N76" i="4" s="1"/>
  <c r="O76" i="4" s="1"/>
  <c r="P76" i="4" s="1"/>
  <c r="L77" i="4"/>
  <c r="M77" i="4" s="1"/>
  <c r="N77" i="4" s="1"/>
  <c r="O77" i="4" s="1"/>
  <c r="P77" i="4" s="1"/>
  <c r="L78" i="4"/>
  <c r="M78" i="4" s="1"/>
  <c r="N78" i="4" s="1"/>
  <c r="O78" i="4" s="1"/>
  <c r="P78" i="4" s="1"/>
  <c r="L79" i="4"/>
  <c r="M79" i="4" s="1"/>
  <c r="N79" i="4" s="1"/>
  <c r="O79" i="4" s="1"/>
  <c r="P79" i="4" s="1"/>
  <c r="L80" i="4"/>
  <c r="M80" i="4"/>
  <c r="N80" i="4" s="1"/>
  <c r="O80" i="4" s="1"/>
  <c r="P80" i="4" s="1"/>
  <c r="L81" i="4"/>
  <c r="M81" i="4" s="1"/>
  <c r="N81" i="4" s="1"/>
  <c r="O81" i="4" s="1"/>
  <c r="P81" i="4" s="1"/>
  <c r="L82" i="4"/>
  <c r="M82" i="4" s="1"/>
  <c r="N82" i="4" s="1"/>
  <c r="O82" i="4" s="1"/>
  <c r="P82" i="4" s="1"/>
  <c r="L83" i="4"/>
  <c r="M83" i="4" s="1"/>
  <c r="N83" i="4" s="1"/>
  <c r="O83" i="4" s="1"/>
  <c r="P83" i="4" s="1"/>
  <c r="L84" i="4"/>
  <c r="M84" i="4"/>
  <c r="N84" i="4" s="1"/>
  <c r="O84" i="4" s="1"/>
  <c r="P84" i="4" s="1"/>
  <c r="L85" i="4"/>
  <c r="M85" i="4" s="1"/>
  <c r="N85" i="4" s="1"/>
  <c r="O85" i="4" s="1"/>
  <c r="P85" i="4" s="1"/>
  <c r="L86" i="4"/>
  <c r="M86" i="4" s="1"/>
  <c r="N86" i="4" s="1"/>
  <c r="O86" i="4" s="1"/>
  <c r="P86" i="4" s="1"/>
  <c r="L87" i="4"/>
  <c r="M87" i="4" s="1"/>
  <c r="N87" i="4" s="1"/>
  <c r="O87" i="4" s="1"/>
  <c r="P87" i="4" s="1"/>
  <c r="L88" i="4"/>
  <c r="M88" i="4" s="1"/>
  <c r="N88" i="4" s="1"/>
  <c r="O88" i="4" s="1"/>
  <c r="P88" i="4" s="1"/>
  <c r="L89" i="4"/>
  <c r="M89" i="4" s="1"/>
  <c r="N89" i="4" s="1"/>
  <c r="O89" i="4" s="1"/>
  <c r="P89" i="4" s="1"/>
  <c r="L90" i="4"/>
  <c r="M90" i="4"/>
  <c r="N90" i="4"/>
  <c r="O90" i="4" s="1"/>
  <c r="P90" i="4" s="1"/>
  <c r="L91" i="4"/>
  <c r="M91" i="4"/>
  <c r="N91" i="4" s="1"/>
  <c r="O91" i="4" s="1"/>
  <c r="P91" i="4" s="1"/>
  <c r="L92" i="4"/>
  <c r="M92" i="4" s="1"/>
  <c r="N92" i="4" s="1"/>
  <c r="O92" i="4" s="1"/>
  <c r="P92" i="4" s="1"/>
  <c r="L93" i="4"/>
  <c r="M93" i="4" s="1"/>
  <c r="N93" i="4" s="1"/>
  <c r="O93" i="4" s="1"/>
  <c r="P93" i="4" s="1"/>
  <c r="L94" i="4"/>
  <c r="M94" i="4"/>
  <c r="N94" i="4"/>
  <c r="O94" i="4" s="1"/>
  <c r="P94" i="4" s="1"/>
  <c r="L2" i="4"/>
  <c r="M2" i="4" s="1"/>
  <c r="N2" i="4" s="1"/>
  <c r="O2" i="4" s="1"/>
  <c r="P2" i="4" s="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2" i="4"/>
  <c r="M24" i="1" l="1"/>
  <c r="J24" i="1"/>
  <c r="G31" i="1"/>
  <c r="G29" i="1"/>
  <c r="Q35" i="1" s="1"/>
  <c r="Q14" i="1"/>
  <c r="R14" i="1" s="1"/>
  <c r="Q13" i="1"/>
  <c r="J13" i="1" s="1"/>
  <c r="Q36" i="1" l="1"/>
  <c r="Q34" i="1"/>
  <c r="J29" i="1"/>
  <c r="Q28" i="1"/>
  <c r="R22" i="1" s="1"/>
  <c r="J14" i="1"/>
  <c r="R13" i="1"/>
  <c r="S13" i="1"/>
  <c r="S14" i="1"/>
  <c r="S15" i="1" l="1"/>
  <c r="R15" i="1"/>
  <c r="S16" i="1"/>
  <c r="S18" i="1" s="1"/>
  <c r="M14" i="1" s="1"/>
  <c r="R16" i="1"/>
  <c r="R18" i="1" s="1"/>
  <c r="K14" i="1" s="1"/>
  <c r="S31" i="1"/>
  <c r="Q32" i="1" s="1"/>
  <c r="F32" i="1" s="1"/>
  <c r="R24" i="1"/>
  <c r="F4" i="1" s="1"/>
  <c r="Q24" i="1"/>
  <c r="F15" i="1" s="1"/>
  <c r="R32" i="1" l="1"/>
  <c r="G19" i="1" s="1"/>
  <c r="S17" i="1"/>
  <c r="M13" i="1" s="1"/>
  <c r="R17" i="1"/>
  <c r="K13" i="1" s="1"/>
</calcChain>
</file>

<file path=xl/comments1.xml><?xml version="1.0" encoding="utf-8"?>
<comments xmlns="http://schemas.openxmlformats.org/spreadsheetml/2006/main">
  <authors>
    <author>Jocelyn Chang</author>
    <author>Dean, Christopher</author>
  </authors>
  <commentList>
    <comment ref="N2" authorId="0">
      <text>
        <r>
          <rPr>
            <b/>
            <u/>
            <sz val="10"/>
            <color indexed="81"/>
            <rFont val="Tahoma"/>
            <family val="2"/>
          </rPr>
          <t>Texas Instruments</t>
        </r>
        <r>
          <rPr>
            <sz val="10"/>
            <color indexed="81"/>
            <rFont val="Tahoma"/>
            <family val="2"/>
          </rPr>
          <t>:</t>
        </r>
        <r>
          <rPr>
            <sz val="9"/>
            <color indexed="81"/>
            <rFont val="Tahoma"/>
            <family val="2"/>
          </rPr>
          <t xml:space="preserve">
</t>
        </r>
        <r>
          <rPr>
            <b/>
            <sz val="9"/>
            <color indexed="81"/>
            <rFont val="Tahoma"/>
            <family val="2"/>
          </rPr>
          <t>Limited Use Policy</t>
        </r>
        <r>
          <rPr>
            <sz val="9"/>
            <color indexed="81"/>
            <rFont val="Tahoma"/>
            <family val="2"/>
          </rPr>
          <t xml:space="preserve">
You must treat this software and documentation like any other copyrighted material.
</t>
        </r>
        <r>
          <rPr>
            <b/>
            <sz val="9"/>
            <color indexed="81"/>
            <rFont val="Tahoma"/>
            <family val="2"/>
          </rPr>
          <t>You may not:</t>
        </r>
        <r>
          <rPr>
            <sz val="9"/>
            <color indexed="81"/>
            <rFont val="Tahoma"/>
            <family val="2"/>
          </rPr>
          <t xml:space="preserve">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product datasheet and EVM user guides for more details.
</t>
        </r>
        <r>
          <rPr>
            <b/>
            <sz val="9"/>
            <color indexed="81"/>
            <rFont val="Tahoma"/>
            <family val="2"/>
          </rPr>
          <t>Rev 1.1, Christopher Dean, Texas Instruments, Inc.</t>
        </r>
      </text>
    </comment>
    <comment ref="K12" authorId="1">
      <text>
        <r>
          <rPr>
            <sz val="9"/>
            <color indexed="81"/>
            <rFont val="Tahoma"/>
            <family val="2"/>
          </rPr>
          <t>Finds the nearest 1% resistor value that is larger than Rs_min, and lower than Rs_max
Power dissipation shown when VN = VINmax for worst case power dissipation</t>
        </r>
      </text>
    </comment>
    <comment ref="M12" authorId="1">
      <text>
        <r>
          <rPr>
            <sz val="9"/>
            <color indexed="81"/>
            <rFont val="Tahoma"/>
            <family val="2"/>
          </rPr>
          <t>Finds the nearest 5% resistor value that is larger than Rs_min, and lower than Rs_max
Power dissipation shown when VN = VINmax for worst case power dissipation</t>
        </r>
      </text>
    </comment>
    <comment ref="A16" authorId="1">
      <text>
        <r>
          <rPr>
            <sz val="9"/>
            <color indexed="81"/>
            <rFont val="Tahoma"/>
            <family val="2"/>
          </rPr>
          <t>Example of cell with additional details</t>
        </r>
      </text>
    </comment>
    <comment ref="F19" authorId="1">
      <text>
        <r>
          <rPr>
            <sz val="9"/>
            <color indexed="81"/>
            <rFont val="Tahoma"/>
            <family val="2"/>
          </rPr>
          <t xml:space="preserve">Use this section to test a specific case.  
The values for VREF, I_Qmin and I_Qmax from Part 1 are also used here in Part 2.
The yellow inputs (VIN, ILoad, R) for this section are independent of those from section 1.
The yellow boxes in the schematic are not accessible for the user to enter values, but denote values that are inputs to the calculator.
</t>
        </r>
      </text>
    </comment>
    <comment ref="G21" authorId="1">
      <text>
        <r>
          <rPr>
            <sz val="9"/>
            <color indexed="81"/>
            <rFont val="Tahoma"/>
            <family val="2"/>
          </rPr>
          <t>This cell is linked to the VREF value from Part 1</t>
        </r>
      </text>
    </comment>
    <comment ref="G22" authorId="1">
      <text>
        <r>
          <rPr>
            <sz val="9"/>
            <color indexed="81"/>
            <rFont val="Tahoma"/>
            <family val="2"/>
          </rPr>
          <t>I_Q values are linked from Part 1</t>
        </r>
      </text>
    </comment>
    <comment ref="F28" authorId="1">
      <text>
        <r>
          <rPr>
            <sz val="9"/>
            <color indexed="81"/>
            <rFont val="Tahoma"/>
            <family val="2"/>
          </rPr>
          <t xml:space="preserve">Supply current, the sum of load current and shunt current
</t>
        </r>
        <r>
          <rPr>
            <b/>
            <sz val="9"/>
            <color indexed="81"/>
            <rFont val="Tahoma"/>
            <family val="2"/>
          </rPr>
          <t>I_Total</t>
        </r>
        <r>
          <rPr>
            <sz val="9"/>
            <color indexed="81"/>
            <rFont val="Tahoma"/>
            <family val="2"/>
          </rPr>
          <t xml:space="preserve"> = I_Q + I_Load</t>
        </r>
      </text>
    </comment>
    <comment ref="F29" authorId="1">
      <text>
        <r>
          <rPr>
            <sz val="9"/>
            <color indexed="81"/>
            <rFont val="Tahoma"/>
            <family val="2"/>
          </rPr>
          <t>Current through the shunt</t>
        </r>
      </text>
    </comment>
    <comment ref="F30" authorId="1">
      <text>
        <r>
          <rPr>
            <sz val="9"/>
            <color indexed="81"/>
            <rFont val="Tahoma"/>
            <family val="2"/>
          </rPr>
          <t>Voltage dropped across Rs</t>
        </r>
      </text>
    </comment>
    <comment ref="F31" authorId="1">
      <text>
        <r>
          <rPr>
            <sz val="9"/>
            <color indexed="81"/>
            <rFont val="Tahoma"/>
            <family val="2"/>
          </rPr>
          <t>Power dissipated by Rs.  Keep this in mind when selecting the resistor.</t>
        </r>
      </text>
    </comment>
  </commentList>
</comments>
</file>

<file path=xl/sharedStrings.xml><?xml version="1.0" encoding="utf-8"?>
<sst xmlns="http://schemas.openxmlformats.org/spreadsheetml/2006/main" count="81" uniqueCount="65">
  <si>
    <t>Voltage Supply Bounds</t>
  </si>
  <si>
    <t>Min</t>
  </si>
  <si>
    <t>Max</t>
  </si>
  <si>
    <t>Load Current Bounds</t>
  </si>
  <si>
    <t>V</t>
  </si>
  <si>
    <t>A</t>
  </si>
  <si>
    <t>Unit</t>
  </si>
  <si>
    <t>Value</t>
  </si>
  <si>
    <t>R</t>
  </si>
  <si>
    <t>Inputs</t>
  </si>
  <si>
    <t>Calculations</t>
  </si>
  <si>
    <t>Nearest 1%</t>
  </si>
  <si>
    <t>Nearest 5%</t>
  </si>
  <si>
    <t>1% Descending</t>
  </si>
  <si>
    <t>1% Ascending</t>
  </si>
  <si>
    <t>5% Ascending</t>
  </si>
  <si>
    <t>5% Descending</t>
  </si>
  <si>
    <t>About</t>
  </si>
  <si>
    <t>resistor calc</t>
  </si>
  <si>
    <t>R lookup</t>
  </si>
  <si>
    <t>count errors</t>
  </si>
  <si>
    <t>R index</t>
  </si>
  <si>
    <t>Using this Tool</t>
  </si>
  <si>
    <t>Input</t>
  </si>
  <si>
    <t>Output</t>
  </si>
  <si>
    <t>User Input</t>
  </si>
  <si>
    <t>Input Value 
NOT-OK</t>
  </si>
  <si>
    <t>Input/Output Color Legend</t>
  </si>
  <si>
    <t>Useful Links</t>
  </si>
  <si>
    <t>part 2 errors</t>
  </si>
  <si>
    <t>part 1 errors</t>
  </si>
  <si>
    <t>Ω</t>
  </si>
  <si>
    <t>WEBENCH Voltage Reference Selection Tool Instructions</t>
  </si>
  <si>
    <t>WEBENCH Voltage Reference Selection Tool</t>
  </si>
  <si>
    <t>Resistor Equations</t>
  </si>
  <si>
    <t>Shunt Voltage Reference - External Resistor Quick Start Calculator</t>
  </si>
  <si>
    <r>
      <rPr>
        <b/>
        <sz val="9"/>
        <color theme="1"/>
        <rFont val="Calibri"/>
        <family val="2"/>
        <scheme val="minor"/>
      </rPr>
      <t>Note:</t>
    </r>
    <r>
      <rPr>
        <sz val="9"/>
        <color theme="1"/>
        <rFont val="Calibri"/>
        <family val="2"/>
        <scheme val="minor"/>
      </rPr>
      <t xml:space="preserve"> Hover over cells with a red triangle in top right corner for more details (this cell is an example)</t>
    </r>
  </si>
  <si>
    <t>Calculated Value 
OK</t>
  </si>
  <si>
    <t>Calculated Value 
NOT-OK</t>
  </si>
  <si>
    <t>power</t>
  </si>
  <si>
    <t>W</t>
  </si>
  <si>
    <t xml:space="preserve"> </t>
  </si>
  <si>
    <t>TI Voltage References (ti.com/vref)</t>
  </si>
  <si>
    <r>
      <t>I</t>
    </r>
    <r>
      <rPr>
        <vertAlign val="subscript"/>
        <sz val="13"/>
        <color theme="1"/>
        <rFont val="Calibri"/>
        <family val="2"/>
        <scheme val="minor"/>
      </rPr>
      <t>Total</t>
    </r>
  </si>
  <si>
    <r>
      <t>I</t>
    </r>
    <r>
      <rPr>
        <vertAlign val="subscript"/>
        <sz val="13"/>
        <color theme="1"/>
        <rFont val="Calibri"/>
        <family val="2"/>
        <scheme val="minor"/>
      </rPr>
      <t>Q</t>
    </r>
  </si>
  <si>
    <r>
      <t>V</t>
    </r>
    <r>
      <rPr>
        <vertAlign val="subscript"/>
        <sz val="13"/>
        <color theme="1"/>
        <rFont val="Calibri"/>
        <family val="2"/>
        <scheme val="minor"/>
      </rPr>
      <t>Rs</t>
    </r>
  </si>
  <si>
    <r>
      <t>P</t>
    </r>
    <r>
      <rPr>
        <vertAlign val="subscript"/>
        <sz val="13"/>
        <color theme="1"/>
        <rFont val="Calibri"/>
        <family val="2"/>
        <scheme val="minor"/>
      </rPr>
      <t>Rs</t>
    </r>
  </si>
  <si>
    <r>
      <t>I</t>
    </r>
    <r>
      <rPr>
        <vertAlign val="subscript"/>
        <sz val="13"/>
        <color theme="1"/>
        <rFont val="Calibri"/>
        <family val="2"/>
        <scheme val="minor"/>
      </rPr>
      <t>Qmin</t>
    </r>
  </si>
  <si>
    <r>
      <t>I</t>
    </r>
    <r>
      <rPr>
        <vertAlign val="subscript"/>
        <sz val="13"/>
        <color theme="1"/>
        <rFont val="Calibri"/>
        <family val="2"/>
        <scheme val="minor"/>
      </rPr>
      <t>Qmax</t>
    </r>
  </si>
  <si>
    <r>
      <t>V</t>
    </r>
    <r>
      <rPr>
        <vertAlign val="subscript"/>
        <sz val="13"/>
        <color theme="1"/>
        <rFont val="Calibri"/>
        <family val="2"/>
        <scheme val="minor"/>
      </rPr>
      <t>REF</t>
    </r>
  </si>
  <si>
    <r>
      <t>V</t>
    </r>
    <r>
      <rPr>
        <vertAlign val="subscript"/>
        <sz val="13"/>
        <color theme="1"/>
        <rFont val="Calibri"/>
        <family val="2"/>
        <scheme val="minor"/>
      </rPr>
      <t>IN</t>
    </r>
  </si>
  <si>
    <r>
      <t>I</t>
    </r>
    <r>
      <rPr>
        <vertAlign val="subscript"/>
        <sz val="13"/>
        <color theme="1"/>
        <rFont val="Calibri"/>
        <family val="2"/>
        <scheme val="minor"/>
      </rPr>
      <t>Load</t>
    </r>
  </si>
  <si>
    <r>
      <t>Reference Voltage (V</t>
    </r>
    <r>
      <rPr>
        <vertAlign val="subscript"/>
        <sz val="12"/>
        <color theme="1"/>
        <rFont val="Calibri"/>
        <family val="2"/>
        <scheme val="minor"/>
      </rPr>
      <t>REF</t>
    </r>
    <r>
      <rPr>
        <sz val="12"/>
        <color theme="1"/>
        <rFont val="Calibri"/>
        <family val="2"/>
        <scheme val="minor"/>
      </rPr>
      <t>)</t>
    </r>
  </si>
  <si>
    <r>
      <t>I</t>
    </r>
    <r>
      <rPr>
        <vertAlign val="subscript"/>
        <sz val="11"/>
        <color theme="1"/>
        <rFont val="Calibri"/>
        <family val="2"/>
        <scheme val="minor"/>
      </rPr>
      <t>Q</t>
    </r>
    <r>
      <rPr>
        <sz val="11"/>
        <color theme="1"/>
        <rFont val="Calibri"/>
        <family val="2"/>
        <scheme val="minor"/>
      </rPr>
      <t xml:space="preserve"> Bounds</t>
    </r>
  </si>
  <si>
    <t xml:space="preserve">=  </t>
  </si>
  <si>
    <r>
      <t>V</t>
    </r>
    <r>
      <rPr>
        <b/>
        <vertAlign val="subscript"/>
        <sz val="13"/>
        <color theme="1"/>
        <rFont val="Calibri"/>
        <family val="2"/>
        <scheme val="minor"/>
      </rPr>
      <t>REF</t>
    </r>
    <r>
      <rPr>
        <b/>
        <sz val="13"/>
        <color theme="1"/>
        <rFont val="Calibri"/>
        <family val="2"/>
        <scheme val="minor"/>
      </rPr>
      <t xml:space="preserve"> = </t>
    </r>
  </si>
  <si>
    <r>
      <t>R</t>
    </r>
    <r>
      <rPr>
        <b/>
        <vertAlign val="subscript"/>
        <sz val="13"/>
        <color theme="1"/>
        <rFont val="Calibri"/>
        <family val="2"/>
        <scheme val="minor"/>
      </rPr>
      <t>S</t>
    </r>
    <r>
      <rPr>
        <b/>
        <sz val="13"/>
        <color theme="1"/>
        <rFont val="Calibri"/>
        <family val="2"/>
        <scheme val="minor"/>
      </rPr>
      <t>=</t>
    </r>
  </si>
  <si>
    <r>
      <t>I</t>
    </r>
    <r>
      <rPr>
        <b/>
        <vertAlign val="subscript"/>
        <sz val="13"/>
        <color theme="1"/>
        <rFont val="Calibri"/>
        <family val="2"/>
        <scheme val="minor"/>
      </rPr>
      <t>Total</t>
    </r>
    <r>
      <rPr>
        <b/>
        <sz val="13"/>
        <color theme="1"/>
        <rFont val="Calibri"/>
        <family val="2"/>
        <scheme val="minor"/>
      </rPr>
      <t>:</t>
    </r>
  </si>
  <si>
    <r>
      <t>I</t>
    </r>
    <r>
      <rPr>
        <b/>
        <vertAlign val="subscript"/>
        <sz val="13"/>
        <color theme="1"/>
        <rFont val="Calibri"/>
        <family val="2"/>
        <scheme val="minor"/>
      </rPr>
      <t>Q</t>
    </r>
    <r>
      <rPr>
        <b/>
        <sz val="13"/>
        <color theme="1"/>
        <rFont val="Calibri"/>
        <family val="2"/>
        <scheme val="minor"/>
      </rPr>
      <t>:</t>
    </r>
  </si>
  <si>
    <r>
      <rPr>
        <b/>
        <sz val="9"/>
        <color theme="1"/>
        <rFont val="Calibri"/>
        <family val="2"/>
        <scheme val="minor"/>
      </rPr>
      <t>Note:</t>
    </r>
    <r>
      <rPr>
        <sz val="9"/>
        <color theme="1"/>
        <rFont val="Calibri"/>
        <family val="2"/>
        <scheme val="minor"/>
      </rPr>
      <t xml:space="preserve"> I</t>
    </r>
    <r>
      <rPr>
        <vertAlign val="subscript"/>
        <sz val="9"/>
        <color theme="1"/>
        <rFont val="Calibri"/>
        <family val="2"/>
        <scheme val="minor"/>
      </rPr>
      <t>Q</t>
    </r>
    <r>
      <rPr>
        <sz val="9"/>
        <color theme="1"/>
        <rFont val="Calibri"/>
        <family val="2"/>
        <scheme val="minor"/>
      </rPr>
      <t xml:space="preserve"> will show 0 mA if there is not enough supply current (I</t>
    </r>
    <r>
      <rPr>
        <vertAlign val="subscript"/>
        <sz val="9"/>
        <color theme="1"/>
        <rFont val="Calibri"/>
        <family val="2"/>
        <scheme val="minor"/>
      </rPr>
      <t>TOTAL</t>
    </r>
    <r>
      <rPr>
        <sz val="9"/>
        <color theme="1"/>
        <rFont val="Calibri"/>
        <family val="2"/>
        <scheme val="minor"/>
      </rPr>
      <t>) to power the device and the load (e.g. V</t>
    </r>
    <r>
      <rPr>
        <vertAlign val="subscript"/>
        <sz val="9"/>
        <color theme="1"/>
        <rFont val="Calibri"/>
        <family val="2"/>
        <scheme val="minor"/>
      </rPr>
      <t>IN</t>
    </r>
    <r>
      <rPr>
        <sz val="9"/>
        <color theme="1"/>
        <rFont val="Calibri"/>
        <family val="2"/>
        <scheme val="minor"/>
      </rPr>
      <t xml:space="preserve"> is too low, R is too high, load is too high)</t>
    </r>
  </si>
  <si>
    <r>
      <t>I</t>
    </r>
    <r>
      <rPr>
        <b/>
        <vertAlign val="subscript"/>
        <sz val="13"/>
        <color theme="1"/>
        <rFont val="Calibri"/>
        <family val="2"/>
        <scheme val="minor"/>
      </rPr>
      <t>Load</t>
    </r>
    <r>
      <rPr>
        <b/>
        <sz val="13"/>
        <color theme="1"/>
        <rFont val="Calibri"/>
        <family val="2"/>
        <scheme val="minor"/>
      </rPr>
      <t>:</t>
    </r>
  </si>
  <si>
    <r>
      <rPr>
        <b/>
        <sz val="9"/>
        <color theme="1"/>
        <rFont val="Calibri"/>
        <family val="2"/>
        <scheme val="minor"/>
      </rPr>
      <t>1)</t>
    </r>
    <r>
      <rPr>
        <sz val="9"/>
        <color theme="1"/>
        <rFont val="Calibri"/>
        <family val="2"/>
        <scheme val="minor"/>
      </rPr>
      <t xml:space="preserve"> Use </t>
    </r>
    <r>
      <rPr>
        <b/>
        <sz val="9"/>
        <color theme="1"/>
        <rFont val="Calibri"/>
        <family val="2"/>
        <scheme val="minor"/>
      </rPr>
      <t>Rs Quick Start</t>
    </r>
    <r>
      <rPr>
        <sz val="9"/>
        <color theme="1"/>
        <rFont val="Calibri"/>
        <family val="2"/>
        <scheme val="minor"/>
      </rPr>
      <t xml:space="preserve"> to calculate valid resistor values for given supply and load bounds. I</t>
    </r>
    <r>
      <rPr>
        <vertAlign val="subscript"/>
        <sz val="9"/>
        <color theme="1"/>
        <rFont val="Calibri"/>
        <family val="2"/>
        <scheme val="minor"/>
      </rPr>
      <t>Q</t>
    </r>
    <r>
      <rPr>
        <sz val="9"/>
        <color theme="1"/>
        <rFont val="Calibri"/>
        <family val="2"/>
        <scheme val="minor"/>
      </rPr>
      <t xml:space="preserve"> bounds are specific to the part, and are in the datasheet. 
1. Enter reference voltage 
2. Enter I</t>
    </r>
    <r>
      <rPr>
        <vertAlign val="subscript"/>
        <sz val="9"/>
        <color theme="1"/>
        <rFont val="Calibri"/>
        <family val="2"/>
        <scheme val="minor"/>
      </rPr>
      <t>Q</t>
    </r>
    <r>
      <rPr>
        <sz val="9"/>
        <color theme="1"/>
        <rFont val="Calibri"/>
        <family val="2"/>
        <scheme val="minor"/>
      </rPr>
      <t xml:space="preserve"> bounds from part datasheet
3. Enter Voltage supply and Load current bounds.  If configuration is not supported, R</t>
    </r>
    <r>
      <rPr>
        <vertAlign val="subscript"/>
        <sz val="9"/>
        <color theme="1"/>
        <rFont val="Calibri"/>
        <family val="2"/>
        <scheme val="minor"/>
      </rPr>
      <t>S</t>
    </r>
    <r>
      <rPr>
        <sz val="9"/>
        <color theme="1"/>
        <rFont val="Calibri"/>
        <family val="2"/>
        <scheme val="minor"/>
      </rPr>
      <t xml:space="preserve"> values will highlight red.  Adjust V</t>
    </r>
    <r>
      <rPr>
        <vertAlign val="subscript"/>
        <sz val="9"/>
        <color theme="1"/>
        <rFont val="Calibri"/>
        <family val="2"/>
        <scheme val="minor"/>
      </rPr>
      <t>IN</t>
    </r>
    <r>
      <rPr>
        <sz val="9"/>
        <color theme="1"/>
        <rFont val="Calibri"/>
        <family val="2"/>
        <scheme val="minor"/>
      </rPr>
      <t xml:space="preserve"> or load such that R</t>
    </r>
    <r>
      <rPr>
        <vertAlign val="subscript"/>
        <sz val="9"/>
        <color theme="1"/>
        <rFont val="Calibri"/>
        <family val="2"/>
        <scheme val="minor"/>
      </rPr>
      <t>S-MAX</t>
    </r>
    <r>
      <rPr>
        <sz val="9"/>
        <color theme="1"/>
        <rFont val="Calibri"/>
        <family val="2"/>
        <scheme val="minor"/>
      </rPr>
      <t xml:space="preserve"> is greater than or equal to R</t>
    </r>
    <r>
      <rPr>
        <vertAlign val="subscript"/>
        <sz val="9"/>
        <color theme="1"/>
        <rFont val="Calibri"/>
        <family val="2"/>
        <scheme val="minor"/>
      </rPr>
      <t>S-MIN</t>
    </r>
    <r>
      <rPr>
        <sz val="9"/>
        <color theme="1"/>
        <rFont val="Calibri"/>
        <family val="2"/>
        <scheme val="minor"/>
      </rPr>
      <t xml:space="preserve">
</t>
    </r>
    <r>
      <rPr>
        <b/>
        <sz val="9"/>
        <color theme="1"/>
        <rFont val="Calibri"/>
        <family val="2"/>
        <scheme val="minor"/>
      </rPr>
      <t>Note:</t>
    </r>
    <r>
      <rPr>
        <sz val="9"/>
        <color theme="1"/>
        <rFont val="Calibri"/>
        <family val="2"/>
        <scheme val="minor"/>
      </rPr>
      <t xml:space="preserve"> Keep power dissipation and component heating in mind when selecting a resistor for a design.  Power dissipation for </t>
    </r>
    <r>
      <rPr>
        <b/>
        <sz val="9"/>
        <color theme="1"/>
        <rFont val="Calibri"/>
        <family val="2"/>
        <scheme val="minor"/>
      </rPr>
      <t>Rs Quick Start</t>
    </r>
    <r>
      <rPr>
        <sz val="9"/>
        <color theme="1"/>
        <rFont val="Calibri"/>
        <family val="2"/>
        <scheme val="minor"/>
      </rPr>
      <t xml:space="preserve"> is shown when V</t>
    </r>
    <r>
      <rPr>
        <vertAlign val="subscript"/>
        <sz val="9"/>
        <color theme="1"/>
        <rFont val="Calibri"/>
        <family val="2"/>
        <scheme val="minor"/>
      </rPr>
      <t>IN</t>
    </r>
    <r>
      <rPr>
        <sz val="9"/>
        <color theme="1"/>
        <rFont val="Calibri"/>
        <family val="2"/>
        <scheme val="minor"/>
      </rPr>
      <t xml:space="preserve"> is at V</t>
    </r>
    <r>
      <rPr>
        <vertAlign val="subscript"/>
        <sz val="9"/>
        <color theme="1"/>
        <rFont val="Calibri"/>
        <family val="2"/>
        <scheme val="minor"/>
      </rPr>
      <t>IN-MAX</t>
    </r>
  </si>
  <si>
    <r>
      <rPr>
        <b/>
        <sz val="9"/>
        <color theme="1"/>
        <rFont val="Calibri"/>
        <family val="2"/>
        <scheme val="minor"/>
      </rPr>
      <t>2)</t>
    </r>
    <r>
      <rPr>
        <sz val="9"/>
        <color theme="1"/>
        <rFont val="Calibri"/>
        <family val="2"/>
        <scheme val="minor"/>
      </rPr>
      <t xml:space="preserve"> Use </t>
    </r>
    <r>
      <rPr>
        <b/>
        <sz val="9"/>
        <color theme="1"/>
        <rFont val="Calibri"/>
        <family val="2"/>
        <scheme val="minor"/>
      </rPr>
      <t>Schematic Overlay</t>
    </r>
    <r>
      <rPr>
        <sz val="9"/>
        <color theme="1"/>
        <rFont val="Calibri"/>
        <family val="2"/>
        <scheme val="minor"/>
      </rPr>
      <t xml:space="preserve"> to view calculated values for a specific case. V</t>
    </r>
    <r>
      <rPr>
        <vertAlign val="subscript"/>
        <sz val="9"/>
        <color theme="1"/>
        <rFont val="Calibri"/>
        <family val="2"/>
        <scheme val="minor"/>
      </rPr>
      <t>REF</t>
    </r>
    <r>
      <rPr>
        <sz val="9"/>
        <color theme="1"/>
        <rFont val="Calibri"/>
        <family val="2"/>
        <scheme val="minor"/>
      </rPr>
      <t xml:space="preserve"> and I</t>
    </r>
    <r>
      <rPr>
        <vertAlign val="subscript"/>
        <sz val="9"/>
        <color theme="1"/>
        <rFont val="Calibri"/>
        <family val="2"/>
        <scheme val="minor"/>
      </rPr>
      <t>Q</t>
    </r>
    <r>
      <rPr>
        <sz val="9"/>
        <color theme="1"/>
        <rFont val="Calibri"/>
        <family val="2"/>
        <scheme val="minor"/>
      </rPr>
      <t xml:space="preserve"> bounds are linked from </t>
    </r>
    <r>
      <rPr>
        <b/>
        <sz val="9"/>
        <color theme="1"/>
        <rFont val="Calibri"/>
        <family val="2"/>
        <scheme val="minor"/>
      </rPr>
      <t>Rs Quick Start</t>
    </r>
    <r>
      <rPr>
        <sz val="9"/>
        <color theme="1"/>
        <rFont val="Calibri"/>
        <family val="2"/>
        <scheme val="minor"/>
      </rPr>
      <t>. Change V</t>
    </r>
    <r>
      <rPr>
        <vertAlign val="subscript"/>
        <sz val="9"/>
        <color theme="1"/>
        <rFont val="Calibri"/>
        <family val="2"/>
        <scheme val="minor"/>
      </rPr>
      <t>IN</t>
    </r>
    <r>
      <rPr>
        <sz val="9"/>
        <color theme="1"/>
        <rFont val="Calibri"/>
        <family val="2"/>
        <scheme val="minor"/>
      </rPr>
      <t>, Load, R</t>
    </r>
    <r>
      <rPr>
        <vertAlign val="subscript"/>
        <sz val="9"/>
        <color theme="1"/>
        <rFont val="Calibri"/>
        <family val="2"/>
        <scheme val="minor"/>
      </rPr>
      <t>S</t>
    </r>
    <r>
      <rPr>
        <sz val="9"/>
        <color theme="1"/>
        <rFont val="Calibri"/>
        <family val="2"/>
        <scheme val="minor"/>
      </rPr>
      <t xml:space="preserve"> to see effect on circuit.</t>
    </r>
  </si>
  <si>
    <r>
      <t>R</t>
    </r>
    <r>
      <rPr>
        <vertAlign val="subscript"/>
        <sz val="12"/>
        <color theme="1"/>
        <rFont val="Calibri"/>
        <family val="2"/>
        <scheme val="minor"/>
      </rPr>
      <t>S_MIN</t>
    </r>
  </si>
  <si>
    <r>
      <t>R</t>
    </r>
    <r>
      <rPr>
        <vertAlign val="subscript"/>
        <sz val="12"/>
        <color theme="1"/>
        <rFont val="Calibri"/>
        <family val="2"/>
        <scheme val="minor"/>
      </rPr>
      <t>S_MAX</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</si>
</sst>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E+0"/>
    <numFmt numFmtId="165" formatCode="##0.000E+0"/>
    <numFmt numFmtId="166" formatCode="##0E+0"/>
    <numFmt numFmtId="167" formatCode="##0.0000E+0"/>
    <numFmt numFmtId="168" formatCode="0.0%"/>
    <numFmt numFmtId="171" formatCode="0.0"/>
  </numFmts>
  <fonts count="35" x14ac:knownFonts="1">
    <font>
      <sz val="11"/>
      <color theme="1"/>
      <name val="Calibri"/>
      <family val="2"/>
      <scheme val="minor"/>
    </font>
    <font>
      <b/>
      <sz val="11"/>
      <color theme="1"/>
      <name val="Calibri"/>
      <family val="2"/>
      <scheme val="minor"/>
    </font>
    <font>
      <sz val="11"/>
      <name val="Calibri"/>
      <family val="2"/>
      <scheme val="minor"/>
    </font>
    <font>
      <sz val="9"/>
      <color indexed="81"/>
      <name val="Tahoma"/>
      <family val="2"/>
    </font>
    <font>
      <b/>
      <sz val="9"/>
      <color indexed="81"/>
      <name val="Tahoma"/>
      <family val="2"/>
    </font>
    <font>
      <b/>
      <u/>
      <sz val="10"/>
      <color indexed="81"/>
      <name val="Tahoma"/>
      <family val="2"/>
    </font>
    <font>
      <sz val="10"/>
      <color indexed="81"/>
      <name val="Tahoma"/>
      <family val="2"/>
    </font>
    <font>
      <b/>
      <sz val="14"/>
      <color rgb="FFFF0000"/>
      <name val="Calibri"/>
      <family val="2"/>
      <scheme val="minor"/>
    </font>
    <font>
      <sz val="11"/>
      <color theme="1"/>
      <name val="Calibri"/>
      <family val="2"/>
      <scheme val="minor"/>
    </font>
    <font>
      <sz val="11"/>
      <color rgb="FFFF0000"/>
      <name val="Calibri"/>
      <family val="2"/>
      <scheme val="minor"/>
    </font>
    <font>
      <b/>
      <sz val="14"/>
      <color theme="1"/>
      <name val="Calibri"/>
      <family val="2"/>
      <scheme val="minor"/>
    </font>
    <font>
      <b/>
      <sz val="18"/>
      <color rgb="FFFF0000"/>
      <name val="Calibri"/>
      <family val="2"/>
      <scheme val="minor"/>
    </font>
    <font>
      <b/>
      <sz val="14"/>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5" tint="0.59999389629810485"/>
      <name val="Calibri"/>
      <family val="2"/>
      <scheme val="minor"/>
    </font>
    <font>
      <b/>
      <sz val="12"/>
      <name val="Calibri"/>
      <family val="2"/>
      <scheme val="minor"/>
    </font>
    <font>
      <b/>
      <sz val="10"/>
      <name val="Calibri"/>
      <family val="2"/>
      <scheme val="minor"/>
    </font>
    <font>
      <u/>
      <sz val="11"/>
      <color theme="10"/>
      <name val="Calibri"/>
      <family val="2"/>
      <scheme val="minor"/>
    </font>
    <font>
      <sz val="11"/>
      <color rgb="FFC00000"/>
      <name val="Calibri"/>
      <family val="2"/>
      <scheme val="minor"/>
    </font>
    <font>
      <b/>
      <sz val="14"/>
      <color rgb="FFC00000"/>
      <name val="Calibri"/>
      <family val="2"/>
      <scheme val="minor"/>
    </font>
    <font>
      <b/>
      <sz val="18"/>
      <color rgb="FFC00000"/>
      <name val="Calibri"/>
      <family val="2"/>
      <scheme val="minor"/>
    </font>
    <font>
      <b/>
      <sz val="11"/>
      <color rgb="FFC00000"/>
      <name val="Calibri"/>
      <family val="2"/>
      <scheme val="minor"/>
    </font>
    <font>
      <b/>
      <sz val="10"/>
      <color rgb="FFC00000"/>
      <name val="Calibri"/>
      <family val="2"/>
      <scheme val="minor"/>
    </font>
    <font>
      <vertAlign val="subscript"/>
      <sz val="11"/>
      <color theme="1"/>
      <name val="Calibri"/>
      <family val="2"/>
      <scheme val="minor"/>
    </font>
    <font>
      <sz val="12"/>
      <color theme="1"/>
      <name val="Calibri"/>
      <family val="2"/>
      <scheme val="minor"/>
    </font>
    <font>
      <vertAlign val="subscript"/>
      <sz val="12"/>
      <color theme="1"/>
      <name val="Calibri"/>
      <family val="2"/>
      <scheme val="minor"/>
    </font>
    <font>
      <sz val="13"/>
      <color theme="1"/>
      <name val="Calibri"/>
      <family val="2"/>
      <scheme val="minor"/>
    </font>
    <font>
      <vertAlign val="subscript"/>
      <sz val="13"/>
      <color theme="1"/>
      <name val="Calibri"/>
      <family val="2"/>
      <scheme val="minor"/>
    </font>
    <font>
      <b/>
      <sz val="13"/>
      <color theme="1"/>
      <name val="Calibri"/>
      <family val="2"/>
      <scheme val="minor"/>
    </font>
    <font>
      <b/>
      <vertAlign val="subscript"/>
      <sz val="13"/>
      <color theme="1"/>
      <name val="Calibri"/>
      <family val="2"/>
      <scheme val="minor"/>
    </font>
    <font>
      <b/>
      <sz val="11"/>
      <name val="Calibri"/>
      <family val="2"/>
      <scheme val="minor"/>
    </font>
    <font>
      <b/>
      <sz val="11"/>
      <color theme="5" tint="-0.249977111117893"/>
      <name val="Calibri"/>
      <family val="2"/>
      <scheme val="minor"/>
    </font>
    <font>
      <vertAlign val="subscript"/>
      <sz val="9"/>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rgb="FFFFFF99"/>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tint="-0.249977111117893"/>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s>
  <cellStyleXfs count="3">
    <xf numFmtId="0" fontId="0" fillId="0" borderId="0"/>
    <xf numFmtId="9" fontId="8" fillId="0" borderId="0" applyFont="0" applyFill="0" applyBorder="0" applyAlignment="0" applyProtection="0"/>
    <xf numFmtId="0" fontId="19" fillId="0" borderId="0" applyNumberFormat="0" applyFill="0" applyBorder="0" applyAlignment="0" applyProtection="0"/>
  </cellStyleXfs>
  <cellXfs count="179">
    <xf numFmtId="0" fontId="0" fillId="0" borderId="0" xfId="0"/>
    <xf numFmtId="164" fontId="0" fillId="0" borderId="0" xfId="0" applyNumberFormat="1"/>
    <xf numFmtId="0" fontId="0" fillId="0" borderId="5" xfId="0" applyBorder="1" applyAlignment="1">
      <alignment horizontal="center"/>
    </xf>
    <xf numFmtId="165" fontId="0" fillId="0" borderId="5" xfId="0" applyNumberFormat="1" applyBorder="1"/>
    <xf numFmtId="165" fontId="0" fillId="0" borderId="6" xfId="0" applyNumberFormat="1" applyBorder="1"/>
    <xf numFmtId="0" fontId="1" fillId="0" borderId="1" xfId="0" applyFont="1" applyBorder="1" applyAlignment="1">
      <alignment horizontal="center"/>
    </xf>
    <xf numFmtId="0" fontId="0" fillId="0" borderId="0" xfId="0" quotePrefix="1" applyNumberFormat="1"/>
    <xf numFmtId="164" fontId="0" fillId="0" borderId="0" xfId="0" quotePrefix="1" applyNumberFormat="1"/>
    <xf numFmtId="11" fontId="0" fillId="0" borderId="0" xfId="0" applyNumberFormat="1"/>
    <xf numFmtId="0" fontId="0" fillId="2" borderId="0" xfId="0" applyFill="1" applyBorder="1"/>
    <xf numFmtId="0" fontId="0" fillId="0" borderId="6" xfId="0" applyBorder="1" applyAlignment="1">
      <alignment horizontal="center"/>
    </xf>
    <xf numFmtId="168" fontId="0" fillId="2" borderId="0" xfId="1" applyNumberFormat="1" applyFont="1" applyFill="1" applyBorder="1"/>
    <xf numFmtId="0" fontId="11" fillId="0" borderId="0" xfId="0" applyFont="1" applyFill="1" applyBorder="1" applyAlignment="1">
      <alignment horizontal="center" vertical="center" wrapText="1"/>
    </xf>
    <xf numFmtId="0" fontId="0" fillId="0" borderId="0" xfId="0" applyBorder="1"/>
    <xf numFmtId="0" fontId="10" fillId="0" borderId="0" xfId="0" applyFont="1" applyBorder="1" applyAlignment="1">
      <alignment horizontal="left"/>
    </xf>
    <xf numFmtId="0" fontId="0" fillId="0" borderId="0" xfId="0" applyFont="1" applyFill="1" applyBorder="1" applyAlignment="1">
      <alignment horizontal="center"/>
    </xf>
    <xf numFmtId="0" fontId="0" fillId="0" borderId="0" xfId="0" applyFill="1" applyBorder="1"/>
    <xf numFmtId="0" fontId="10" fillId="0" borderId="0" xfId="0" applyFont="1" applyFill="1" applyBorder="1" applyAlignment="1">
      <alignment horizontal="left"/>
    </xf>
    <xf numFmtId="0" fontId="0" fillId="0" borderId="0" xfId="0" applyFill="1" applyBorder="1" applyAlignment="1"/>
    <xf numFmtId="0" fontId="0" fillId="0" borderId="12" xfId="0" applyBorder="1"/>
    <xf numFmtId="0" fontId="10" fillId="0" borderId="0" xfId="0" applyFont="1" applyBorder="1" applyAlignment="1">
      <alignment horizontal="left" wrapText="1"/>
    </xf>
    <xf numFmtId="0" fontId="7" fillId="0" borderId="0" xfId="0" applyFont="1" applyBorder="1" applyAlignment="1">
      <alignment horizontal="center"/>
    </xf>
    <xf numFmtId="0" fontId="0" fillId="0" borderId="19" xfId="0" applyBorder="1"/>
    <xf numFmtId="0" fontId="0" fillId="2" borderId="12" xfId="0" applyFill="1" applyBorder="1"/>
    <xf numFmtId="0" fontId="1" fillId="0" borderId="16" xfId="0" applyFont="1" applyFill="1" applyBorder="1" applyAlignment="1">
      <alignment horizontal="center"/>
    </xf>
    <xf numFmtId="0" fontId="1" fillId="0" borderId="17" xfId="0" applyFont="1" applyFill="1" applyBorder="1" applyAlignment="1">
      <alignment horizontal="center"/>
    </xf>
    <xf numFmtId="0" fontId="0" fillId="0" borderId="17" xfId="0" applyBorder="1"/>
    <xf numFmtId="0" fontId="0" fillId="2" borderId="17" xfId="0" applyFill="1" applyBorder="1"/>
    <xf numFmtId="0" fontId="0" fillId="2" borderId="18" xfId="0" applyFill="1" applyBorder="1"/>
    <xf numFmtId="0" fontId="0" fillId="3" borderId="1" xfId="0" applyFill="1" applyBorder="1" applyAlignment="1" applyProtection="1">
      <alignment horizontal="center"/>
      <protection locked="0"/>
    </xf>
    <xf numFmtId="0" fontId="12" fillId="0" borderId="0" xfId="0" applyFont="1" applyFill="1" applyBorder="1" applyAlignment="1">
      <alignment vertical="center"/>
    </xf>
    <xf numFmtId="0" fontId="12" fillId="0" borderId="12" xfId="0" applyFont="1" applyFill="1" applyBorder="1" applyAlignment="1">
      <alignment vertical="center"/>
    </xf>
    <xf numFmtId="0" fontId="1" fillId="0" borderId="32" xfId="0" applyFont="1" applyBorder="1" applyAlignment="1">
      <alignment horizontal="center"/>
    </xf>
    <xf numFmtId="0" fontId="1" fillId="0" borderId="31" xfId="0" applyFont="1" applyBorder="1" applyAlignment="1">
      <alignment horizontal="center"/>
    </xf>
    <xf numFmtId="0" fontId="0" fillId="0" borderId="13" xfId="0" applyBorder="1"/>
    <xf numFmtId="0" fontId="0" fillId="0" borderId="15" xfId="0" applyBorder="1"/>
    <xf numFmtId="0" fontId="9" fillId="0" borderId="0" xfId="0" applyFont="1" applyBorder="1"/>
    <xf numFmtId="48" fontId="0" fillId="3" borderId="1" xfId="0" applyNumberFormat="1" applyFill="1" applyBorder="1" applyAlignment="1" applyProtection="1">
      <alignment horizontal="center"/>
      <protection locked="0"/>
    </xf>
    <xf numFmtId="0" fontId="9" fillId="0" borderId="0" xfId="0" applyFont="1"/>
    <xf numFmtId="0" fontId="19" fillId="0" borderId="19" xfId="2" applyBorder="1"/>
    <xf numFmtId="0" fontId="0" fillId="0" borderId="18" xfId="0" applyBorder="1"/>
    <xf numFmtId="0" fontId="19" fillId="0" borderId="16" xfId="2" applyBorder="1"/>
    <xf numFmtId="0" fontId="14" fillId="0" borderId="19" xfId="0" applyFont="1" applyBorder="1" applyAlignment="1">
      <alignment horizontal="left" vertical="top" wrapText="1"/>
    </xf>
    <xf numFmtId="0" fontId="14" fillId="0" borderId="0" xfId="0" applyFont="1" applyBorder="1" applyAlignment="1">
      <alignment horizontal="left" vertical="top" wrapText="1"/>
    </xf>
    <xf numFmtId="0" fontId="20" fillId="8" borderId="9" xfId="0" applyFont="1" applyFill="1" applyBorder="1"/>
    <xf numFmtId="0" fontId="20" fillId="8" borderId="15" xfId="0" applyFont="1" applyFill="1" applyBorder="1"/>
    <xf numFmtId="0" fontId="17" fillId="0" borderId="16" xfId="0" applyFont="1" applyFill="1" applyBorder="1" applyAlignment="1">
      <alignment horizontal="center" vertical="center"/>
    </xf>
    <xf numFmtId="0" fontId="22" fillId="8" borderId="13" xfId="0" applyFont="1" applyFill="1" applyBorder="1" applyAlignment="1">
      <alignment vertical="center" wrapText="1"/>
    </xf>
    <xf numFmtId="0" fontId="23" fillId="8" borderId="18" xfId="0" applyFont="1" applyFill="1" applyBorder="1"/>
    <xf numFmtId="0" fontId="22" fillId="8" borderId="17" xfId="0" applyFont="1" applyFill="1" applyBorder="1" applyAlignment="1">
      <alignment vertical="center" wrapText="1"/>
    </xf>
    <xf numFmtId="0" fontId="0" fillId="0" borderId="1" xfId="0" applyBorder="1" applyAlignment="1">
      <alignment horizontal="center"/>
    </xf>
    <xf numFmtId="0" fontId="0" fillId="0" borderId="14" xfId="0" applyBorder="1"/>
    <xf numFmtId="0" fontId="0" fillId="0" borderId="13" xfId="0" applyFill="1" applyBorder="1" applyAlignment="1"/>
    <xf numFmtId="0" fontId="0" fillId="0" borderId="3" xfId="0" applyBorder="1" applyAlignment="1">
      <alignment horizontal="center"/>
    </xf>
    <xf numFmtId="0" fontId="0" fillId="0" borderId="1" xfId="0" applyBorder="1" applyAlignment="1">
      <alignment horizontal="center" vertical="center"/>
    </xf>
    <xf numFmtId="0" fontId="0" fillId="0" borderId="1" xfId="0" applyFill="1" applyBorder="1" applyAlignment="1" applyProtection="1">
      <alignment horizontal="center" vertical="center"/>
    </xf>
    <xf numFmtId="48" fontId="0" fillId="0" borderId="33" xfId="0" applyNumberFormat="1" applyFill="1" applyBorder="1" applyAlignment="1" applyProtection="1">
      <alignment horizontal="center" vertical="center"/>
    </xf>
    <xf numFmtId="0" fontId="0" fillId="3" borderId="5" xfId="0" applyFill="1" applyBorder="1" applyAlignment="1" applyProtection="1">
      <alignment horizontal="center" vertical="center"/>
      <protection locked="0"/>
    </xf>
    <xf numFmtId="166" fontId="0" fillId="3" borderId="1" xfId="0" applyNumberFormat="1" applyFill="1" applyBorder="1" applyAlignment="1" applyProtection="1">
      <alignment horizontal="center" vertical="center"/>
      <protection locked="0"/>
    </xf>
    <xf numFmtId="0" fontId="1" fillId="0" borderId="1" xfId="0" applyFont="1" applyBorder="1" applyAlignment="1"/>
    <xf numFmtId="0" fontId="21" fillId="8" borderId="11" xfId="0" applyFont="1" applyFill="1" applyBorder="1" applyAlignment="1">
      <alignment vertical="center" wrapText="1"/>
    </xf>
    <xf numFmtId="0" fontId="0" fillId="0" borderId="22" xfId="0" applyFill="1" applyBorder="1" applyAlignment="1">
      <alignment horizontal="center"/>
    </xf>
    <xf numFmtId="0" fontId="1" fillId="0" borderId="37"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0" fontId="0" fillId="0" borderId="22"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1" fillId="0" borderId="42" xfId="0" applyFont="1" applyBorder="1" applyAlignment="1"/>
    <xf numFmtId="0" fontId="0" fillId="0" borderId="22" xfId="0" applyBorder="1" applyAlignment="1">
      <alignment horizontal="center" vertical="center"/>
    </xf>
    <xf numFmtId="0" fontId="0" fillId="2" borderId="13" xfId="0" applyFill="1" applyBorder="1"/>
    <xf numFmtId="0" fontId="0" fillId="2" borderId="19" xfId="0" applyFill="1" applyBorder="1"/>
    <xf numFmtId="0" fontId="0" fillId="2" borderId="16" xfId="0" applyFill="1" applyBorder="1"/>
    <xf numFmtId="48" fontId="0" fillId="0" borderId="0" xfId="0" applyNumberFormat="1"/>
    <xf numFmtId="48" fontId="0" fillId="0" borderId="1" xfId="0" applyNumberFormat="1" applyBorder="1"/>
    <xf numFmtId="0" fontId="0" fillId="0" borderId="2" xfId="0" applyFill="1" applyBorder="1" applyAlignment="1"/>
    <xf numFmtId="0" fontId="0" fillId="0" borderId="45" xfId="0" applyFill="1" applyBorder="1" applyAlignment="1">
      <alignment horizontal="center"/>
    </xf>
    <xf numFmtId="48" fontId="0" fillId="0" borderId="44" xfId="0" applyNumberFormat="1"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21" fillId="8" borderId="9"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21" fillId="8" borderId="11" xfId="0" applyFont="1" applyFill="1" applyBorder="1" applyAlignment="1">
      <alignment horizontal="center" vertical="center" wrapText="1"/>
    </xf>
    <xf numFmtId="0" fontId="21" fillId="8" borderId="34" xfId="0" applyFont="1" applyFill="1" applyBorder="1" applyAlignment="1">
      <alignment horizontal="center" vertical="center" wrapText="1"/>
    </xf>
    <xf numFmtId="0" fontId="21" fillId="8" borderId="35" xfId="0" applyFont="1" applyFill="1" applyBorder="1" applyAlignment="1">
      <alignment horizontal="center" vertical="center" wrapText="1"/>
    </xf>
    <xf numFmtId="0" fontId="21" fillId="8" borderId="36" xfId="0" applyFont="1" applyFill="1" applyBorder="1" applyAlignment="1">
      <alignment horizontal="center" vertical="center" wrapText="1"/>
    </xf>
    <xf numFmtId="0" fontId="1" fillId="0" borderId="2" xfId="0" quotePrefix="1" applyFont="1" applyFill="1" applyBorder="1" applyAlignment="1">
      <alignment horizontal="center"/>
    </xf>
    <xf numFmtId="0" fontId="1" fillId="0" borderId="3" xfId="0" quotePrefix="1" applyFont="1" applyFill="1" applyBorder="1" applyAlignment="1">
      <alignment horizontal="center"/>
    </xf>
    <xf numFmtId="0" fontId="0" fillId="0" borderId="1" xfId="0" applyFill="1" applyBorder="1" applyAlignment="1">
      <alignment horizontal="center"/>
    </xf>
    <xf numFmtId="0" fontId="0" fillId="0" borderId="0" xfId="0" applyBorder="1" applyAlignment="1">
      <alignment horizontal="center"/>
    </xf>
    <xf numFmtId="0" fontId="0" fillId="0" borderId="4" xfId="0" applyBorder="1" applyAlignment="1">
      <alignment horizontal="center"/>
    </xf>
    <xf numFmtId="0" fontId="14" fillId="0" borderId="26" xfId="0" applyFont="1" applyBorder="1" applyAlignment="1">
      <alignment horizontal="left" vertical="top" wrapText="1"/>
    </xf>
    <xf numFmtId="0" fontId="14" fillId="0" borderId="8" xfId="0" applyFont="1" applyBorder="1" applyAlignment="1">
      <alignment horizontal="left" vertical="top" wrapText="1"/>
    </xf>
    <xf numFmtId="0" fontId="14" fillId="0" borderId="20" xfId="0" applyFont="1" applyBorder="1" applyAlignment="1">
      <alignment horizontal="left" vertical="top" wrapText="1"/>
    </xf>
    <xf numFmtId="0" fontId="14" fillId="0" borderId="19" xfId="0" applyFont="1" applyBorder="1" applyAlignment="1">
      <alignment horizontal="left" vertical="top" wrapText="1"/>
    </xf>
    <xf numFmtId="0" fontId="14" fillId="0" borderId="0" xfId="0" applyFont="1" applyBorder="1" applyAlignment="1">
      <alignment horizontal="left" vertical="top" wrapText="1"/>
    </xf>
    <xf numFmtId="0" fontId="14" fillId="0" borderId="12" xfId="0" applyFont="1" applyBorder="1" applyAlignment="1">
      <alignment horizontal="left" vertical="top" wrapText="1"/>
    </xf>
    <xf numFmtId="0" fontId="14" fillId="0" borderId="14" xfId="0" applyFont="1" applyBorder="1" applyAlignment="1">
      <alignment horizontal="left" vertical="top" wrapText="1"/>
    </xf>
    <xf numFmtId="0" fontId="14" fillId="0" borderId="13" xfId="0" applyFont="1" applyBorder="1" applyAlignment="1">
      <alignment horizontal="left" vertical="top" wrapText="1"/>
    </xf>
    <xf numFmtId="0" fontId="14" fillId="0" borderId="15" xfId="0" applyFont="1" applyBorder="1" applyAlignment="1">
      <alignment horizontal="left" vertical="top" wrapText="1"/>
    </xf>
    <xf numFmtId="0" fontId="0" fillId="0" borderId="2" xfId="0" applyBorder="1" applyAlignment="1">
      <alignment horizontal="center"/>
    </xf>
    <xf numFmtId="0" fontId="13" fillId="3" borderId="27" xfId="0" applyFont="1" applyFill="1" applyBorder="1" applyAlignment="1">
      <alignment horizontal="center" vertical="center"/>
    </xf>
    <xf numFmtId="0" fontId="13" fillId="3" borderId="28" xfId="0" applyFont="1" applyFill="1" applyBorder="1" applyAlignment="1">
      <alignment horizontal="center" vertical="center"/>
    </xf>
    <xf numFmtId="0" fontId="13" fillId="4" borderId="13"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7" fillId="0" borderId="21" xfId="0" applyFont="1" applyFill="1" applyBorder="1" applyAlignment="1">
      <alignment horizontal="center" vertical="center"/>
    </xf>
    <xf numFmtId="0" fontId="17" fillId="0" borderId="17" xfId="0" applyFont="1" applyFill="1" applyBorder="1" applyAlignment="1">
      <alignment horizontal="center" vertical="center"/>
    </xf>
    <xf numFmtId="0" fontId="17" fillId="0" borderId="18" xfId="0" applyFont="1" applyFill="1" applyBorder="1" applyAlignment="1">
      <alignment horizontal="center" vertical="center"/>
    </xf>
    <xf numFmtId="0" fontId="18" fillId="0" borderId="19" xfId="0" applyFont="1" applyFill="1" applyBorder="1" applyAlignment="1">
      <alignment horizontal="left" vertical="top" wrapText="1"/>
    </xf>
    <xf numFmtId="0" fontId="18" fillId="0" borderId="0" xfId="0" applyFont="1" applyFill="1" applyBorder="1" applyAlignment="1">
      <alignment horizontal="left" vertical="top" wrapText="1"/>
    </xf>
    <xf numFmtId="0" fontId="18" fillId="0" borderId="12" xfId="0" applyFont="1" applyFill="1" applyBorder="1" applyAlignment="1">
      <alignment horizontal="left" vertical="top" wrapText="1"/>
    </xf>
    <xf numFmtId="0" fontId="18" fillId="0" borderId="16" xfId="0" applyFont="1" applyFill="1" applyBorder="1" applyAlignment="1">
      <alignment horizontal="left" vertical="top" wrapText="1"/>
    </xf>
    <xf numFmtId="0" fontId="18" fillId="0" borderId="17" xfId="0" applyFont="1" applyFill="1" applyBorder="1" applyAlignment="1">
      <alignment horizontal="left" vertical="top" wrapText="1"/>
    </xf>
    <xf numFmtId="0" fontId="18" fillId="0" borderId="18" xfId="0" applyFont="1" applyFill="1" applyBorder="1" applyAlignment="1">
      <alignment horizontal="left" vertical="top" wrapText="1"/>
    </xf>
    <xf numFmtId="0" fontId="0" fillId="0" borderId="1" xfId="0" applyBorder="1" applyAlignment="1">
      <alignment horizontal="center" vertical="center"/>
    </xf>
    <xf numFmtId="0" fontId="14" fillId="0" borderId="16" xfId="0" applyFont="1" applyBorder="1" applyAlignment="1">
      <alignment horizontal="left" vertical="top" wrapText="1"/>
    </xf>
    <xf numFmtId="0" fontId="14" fillId="0" borderId="17" xfId="0" applyFont="1" applyBorder="1" applyAlignment="1">
      <alignment horizontal="left" vertical="top" wrapText="1"/>
    </xf>
    <xf numFmtId="0" fontId="14" fillId="0" borderId="18" xfId="0" applyFont="1" applyBorder="1" applyAlignment="1">
      <alignment horizontal="left" vertical="top" wrapText="1"/>
    </xf>
    <xf numFmtId="0" fontId="14" fillId="0" borderId="23" xfId="0" applyFont="1" applyBorder="1" applyAlignment="1">
      <alignment horizontal="left" vertical="top" wrapText="1"/>
    </xf>
    <xf numFmtId="0" fontId="14" fillId="0" borderId="24" xfId="0" applyFont="1" applyBorder="1" applyAlignment="1">
      <alignment horizontal="left" vertical="top" wrapText="1"/>
    </xf>
    <xf numFmtId="0" fontId="14" fillId="0" borderId="25" xfId="0" applyFont="1" applyBorder="1" applyAlignment="1">
      <alignment horizontal="left" vertical="top" wrapText="1"/>
    </xf>
    <xf numFmtId="0" fontId="22" fillId="8" borderId="14" xfId="0" applyFont="1" applyFill="1" applyBorder="1" applyAlignment="1">
      <alignment horizontal="right" vertical="center" wrapText="1"/>
    </xf>
    <xf numFmtId="0" fontId="22" fillId="8" borderId="13" xfId="0" applyFont="1" applyFill="1" applyBorder="1" applyAlignment="1">
      <alignment horizontal="right" vertical="center" wrapText="1"/>
    </xf>
    <xf numFmtId="0" fontId="22" fillId="8" borderId="16" xfId="0" applyFont="1" applyFill="1" applyBorder="1" applyAlignment="1">
      <alignment horizontal="right" vertical="center" wrapText="1"/>
    </xf>
    <xf numFmtId="0" fontId="22" fillId="8" borderId="17" xfId="0" applyFont="1" applyFill="1" applyBorder="1" applyAlignment="1">
      <alignment horizontal="right" vertical="center" wrapText="1"/>
    </xf>
    <xf numFmtId="0" fontId="0" fillId="0" borderId="13" xfId="0" applyBorder="1" applyAlignment="1">
      <alignment horizontal="center"/>
    </xf>
    <xf numFmtId="0" fontId="0" fillId="0" borderId="1" xfId="0" applyBorder="1" applyAlignment="1">
      <alignment horizontal="right"/>
    </xf>
    <xf numFmtId="0" fontId="16" fillId="6" borderId="29" xfId="0" applyFont="1" applyFill="1" applyBorder="1" applyAlignment="1">
      <alignment horizontal="center" vertical="center" wrapText="1"/>
    </xf>
    <xf numFmtId="0" fontId="16" fillId="6" borderId="30" xfId="0" applyFont="1" applyFill="1" applyBorder="1" applyAlignment="1">
      <alignment horizontal="center" vertical="center" wrapText="1"/>
    </xf>
    <xf numFmtId="0" fontId="24" fillId="7" borderId="8" xfId="0" applyFont="1" applyFill="1" applyBorder="1" applyAlignment="1">
      <alignment horizontal="center" vertical="center" wrapText="1"/>
    </xf>
    <xf numFmtId="0" fontId="24" fillId="7" borderId="20" xfId="0" applyFont="1" applyFill="1" applyBorder="1" applyAlignment="1">
      <alignment horizontal="center" vertical="center" wrapText="1"/>
    </xf>
    <xf numFmtId="0" fontId="24" fillId="7" borderId="17" xfId="0" applyFont="1" applyFill="1" applyBorder="1" applyAlignment="1">
      <alignment horizontal="center" vertical="center" wrapText="1"/>
    </xf>
    <xf numFmtId="0" fontId="24" fillId="7" borderId="18" xfId="0" applyFont="1" applyFill="1" applyBorder="1" applyAlignment="1">
      <alignment horizontal="center" vertical="center" wrapText="1"/>
    </xf>
    <xf numFmtId="0" fontId="26" fillId="0" borderId="42" xfId="0" applyFont="1" applyBorder="1" applyAlignment="1">
      <alignment horizontal="right"/>
    </xf>
    <xf numFmtId="0" fontId="28" fillId="0" borderId="42" xfId="0" applyFont="1" applyBorder="1" applyAlignment="1">
      <alignment horizontal="right"/>
    </xf>
    <xf numFmtId="0" fontId="28" fillId="0" borderId="23" xfId="0" applyFont="1" applyBorder="1" applyAlignment="1">
      <alignment horizontal="right"/>
    </xf>
    <xf numFmtId="0" fontId="28" fillId="0" borderId="43" xfId="0" applyFont="1" applyFill="1" applyBorder="1" applyAlignment="1">
      <alignment horizontal="right"/>
    </xf>
    <xf numFmtId="0" fontId="28" fillId="0" borderId="19" xfId="0" applyFont="1" applyBorder="1" applyAlignment="1">
      <alignment horizontal="right"/>
    </xf>
    <xf numFmtId="0" fontId="28" fillId="0" borderId="26" xfId="0" applyFont="1" applyBorder="1" applyAlignment="1">
      <alignment horizontal="right"/>
    </xf>
    <xf numFmtId="0" fontId="26" fillId="0" borderId="2" xfId="0" applyFont="1" applyBorder="1" applyAlignment="1">
      <alignment horizontal="right"/>
    </xf>
    <xf numFmtId="0" fontId="26" fillId="0" borderId="7" xfId="0" applyFont="1" applyBorder="1" applyAlignment="1">
      <alignment horizontal="right"/>
    </xf>
    <xf numFmtId="0" fontId="26" fillId="0" borderId="3" xfId="0" applyFont="1" applyBorder="1" applyAlignment="1">
      <alignment horizontal="right"/>
    </xf>
    <xf numFmtId="0" fontId="26" fillId="0" borderId="1" xfId="0" applyFont="1" applyBorder="1" applyAlignment="1">
      <alignment horizontal="right"/>
    </xf>
    <xf numFmtId="0" fontId="30" fillId="2" borderId="0" xfId="0" quotePrefix="1" applyFont="1" applyFill="1" applyBorder="1" applyAlignment="1">
      <alignment horizontal="right"/>
    </xf>
    <xf numFmtId="0" fontId="30" fillId="2" borderId="0" xfId="0" applyFont="1" applyFill="1" applyBorder="1" applyAlignment="1">
      <alignment horizontal="right"/>
    </xf>
    <xf numFmtId="0" fontId="30" fillId="2" borderId="0" xfId="0" applyFont="1" applyFill="1" applyBorder="1" applyAlignment="1">
      <alignment horizontal="right" vertical="center"/>
    </xf>
    <xf numFmtId="167" fontId="1" fillId="4" borderId="0" xfId="0" applyNumberFormat="1" applyFont="1" applyFill="1" applyBorder="1" applyAlignment="1">
      <alignment horizontal="center" vertical="center"/>
    </xf>
    <xf numFmtId="0" fontId="1" fillId="2" borderId="13" xfId="0" applyFont="1" applyFill="1" applyBorder="1"/>
    <xf numFmtId="0" fontId="1" fillId="2" borderId="15" xfId="0" applyFont="1" applyFill="1" applyBorder="1"/>
    <xf numFmtId="0" fontId="1" fillId="2" borderId="0" xfId="0" applyFont="1" applyFill="1" applyBorder="1"/>
    <xf numFmtId="0" fontId="1" fillId="2" borderId="0" xfId="0" quotePrefix="1" applyFont="1" applyFill="1" applyBorder="1" applyAlignment="1">
      <alignment horizontal="right"/>
    </xf>
    <xf numFmtId="0" fontId="32" fillId="3" borderId="0" xfId="0" applyFont="1" applyFill="1" applyBorder="1" applyAlignment="1">
      <alignment horizontal="center"/>
    </xf>
    <xf numFmtId="0" fontId="1" fillId="2" borderId="12" xfId="0" applyFont="1" applyFill="1" applyBorder="1"/>
    <xf numFmtId="167" fontId="1" fillId="5" borderId="0" xfId="0" applyNumberFormat="1" applyFont="1" applyFill="1" applyBorder="1" applyAlignment="1">
      <alignment horizontal="center" vertical="center"/>
    </xf>
    <xf numFmtId="166" fontId="1" fillId="3" borderId="0" xfId="0" applyNumberFormat="1" applyFont="1" applyFill="1" applyBorder="1" applyAlignment="1">
      <alignment horizontal="center"/>
    </xf>
    <xf numFmtId="0" fontId="33" fillId="7" borderId="0" xfId="0" applyFont="1" applyFill="1" applyBorder="1" applyAlignment="1">
      <alignment horizontal="left"/>
    </xf>
    <xf numFmtId="0" fontId="33" fillId="7" borderId="12" xfId="0" applyFont="1" applyFill="1" applyBorder="1" applyAlignment="1">
      <alignment horizontal="left"/>
    </xf>
    <xf numFmtId="0" fontId="1" fillId="3" borderId="0" xfId="0" applyFont="1" applyFill="1" applyBorder="1" applyAlignment="1">
      <alignment horizontal="center"/>
    </xf>
    <xf numFmtId="167" fontId="1" fillId="3" borderId="0" xfId="0" applyNumberFormat="1" applyFont="1" applyFill="1" applyBorder="1" applyAlignment="1">
      <alignment horizontal="center" vertical="center"/>
    </xf>
    <xf numFmtId="168" fontId="1" fillId="2" borderId="0" xfId="1" applyNumberFormat="1" applyFont="1" applyFill="1" applyBorder="1"/>
    <xf numFmtId="165" fontId="0" fillId="0" borderId="1" xfId="0" applyNumberFormat="1" applyBorder="1" applyAlignment="1">
      <alignment horizontal="center" vertical="center"/>
    </xf>
    <xf numFmtId="165" fontId="0" fillId="0" borderId="6" xfId="0" applyNumberFormat="1" applyBorder="1" applyAlignment="1">
      <alignment horizontal="center" vertical="center"/>
    </xf>
    <xf numFmtId="2" fontId="0" fillId="3" borderId="1" xfId="0" applyNumberFormat="1" applyFill="1" applyBorder="1" applyAlignment="1" applyProtection="1">
      <alignment horizontal="center"/>
      <protection locked="0"/>
    </xf>
    <xf numFmtId="171" fontId="0" fillId="3" borderId="1" xfId="0" applyNumberFormat="1" applyFill="1" applyBorder="1" applyAlignment="1" applyProtection="1">
      <alignment horizontal="center" vertical="center"/>
      <protection locked="0"/>
    </xf>
    <xf numFmtId="0" fontId="2" fillId="0" borderId="0" xfId="0" applyFont="1"/>
    <xf numFmtId="0" fontId="0" fillId="0" borderId="32" xfId="0" applyBorder="1" applyAlignment="1">
      <alignment horizontal="center"/>
    </xf>
    <xf numFmtId="0" fontId="1" fillId="0" borderId="46" xfId="0" applyFont="1" applyBorder="1" applyAlignment="1">
      <alignment horizontal="center"/>
    </xf>
    <xf numFmtId="0" fontId="0" fillId="0" borderId="47" xfId="0" applyBorder="1" applyAlignment="1">
      <alignment horizontal="center"/>
    </xf>
    <xf numFmtId="0" fontId="1" fillId="0" borderId="48" xfId="0" quotePrefix="1" applyFont="1" applyFill="1" applyBorder="1" applyAlignment="1">
      <alignment horizontal="center"/>
    </xf>
    <xf numFmtId="0" fontId="0" fillId="0" borderId="48" xfId="0" applyBorder="1" applyAlignment="1">
      <alignment horizontal="center"/>
    </xf>
    <xf numFmtId="0" fontId="0" fillId="0" borderId="16" xfId="0" applyBorder="1"/>
    <xf numFmtId="0" fontId="0" fillId="0" borderId="49" xfId="0" applyBorder="1"/>
    <xf numFmtId="0" fontId="26" fillId="0" borderId="44" xfId="0" applyFont="1" applyBorder="1" applyAlignment="1">
      <alignment horizontal="right"/>
    </xf>
    <xf numFmtId="0" fontId="0" fillId="0" borderId="44" xfId="0" applyBorder="1" applyAlignment="1">
      <alignment horizontal="center"/>
    </xf>
    <xf numFmtId="0" fontId="0" fillId="0" borderId="44" xfId="0" applyFill="1" applyBorder="1" applyAlignment="1">
      <alignment horizontal="center"/>
    </xf>
    <xf numFmtId="0" fontId="0" fillId="0" borderId="45" xfId="0" applyFill="1" applyBorder="1" applyAlignment="1">
      <alignment horizontal="center"/>
    </xf>
  </cellXfs>
  <cellStyles count="3">
    <cellStyle name="Hyperlink" xfId="2" builtinId="8"/>
    <cellStyle name="Normal" xfId="0" builtinId="0"/>
    <cellStyle name="Percent" xfId="1" builtinId="5"/>
  </cellStyles>
  <dxfs count="20">
    <dxf>
      <font>
        <color theme="9" tint="-0.499984740745262"/>
      </font>
      <fill>
        <patternFill>
          <bgColor rgb="FFFFB871"/>
        </patternFill>
      </fill>
    </dxf>
    <dxf>
      <font>
        <color rgb="FFC00000"/>
      </font>
      <fill>
        <patternFill>
          <bgColor theme="5" tint="0.59996337778862885"/>
        </patternFill>
      </fill>
    </dxf>
    <dxf>
      <fill>
        <patternFill>
          <bgColor theme="6" tint="0.39994506668294322"/>
        </patternFill>
      </fill>
    </dxf>
    <dxf>
      <font>
        <color theme="5" tint="0.59996337778862885"/>
      </font>
      <fill>
        <patternFill>
          <bgColor theme="5" tint="-0.24994659260841701"/>
        </patternFill>
      </fill>
    </dxf>
    <dxf>
      <font>
        <color theme="1"/>
      </font>
      <fill>
        <patternFill>
          <bgColor theme="6" tint="0.39994506668294322"/>
        </patternFill>
      </fill>
    </dxf>
    <dxf>
      <font>
        <color rgb="FFC00000"/>
      </font>
      <fill>
        <patternFill>
          <bgColor theme="5" tint="0.59996337778862885"/>
        </patternFill>
      </fill>
    </dxf>
    <dxf>
      <fill>
        <patternFill>
          <bgColor theme="6" tint="0.39994506668294322"/>
        </patternFill>
      </fill>
    </dxf>
    <dxf>
      <font>
        <color rgb="FFC00000"/>
      </font>
      <fill>
        <patternFill>
          <bgColor theme="5" tint="0.59996337778862885"/>
        </patternFill>
      </fill>
    </dxf>
    <dxf>
      <font>
        <color rgb="FFC00000"/>
      </font>
      <fill>
        <patternFill>
          <bgColor theme="5" tint="0.59996337778862885"/>
        </patternFill>
      </fill>
    </dxf>
    <dxf>
      <fill>
        <patternFill>
          <bgColor theme="6" tint="0.39994506668294322"/>
        </patternFill>
      </fill>
    </dxf>
    <dxf>
      <font>
        <color rgb="FFC00000"/>
      </font>
      <fill>
        <patternFill>
          <bgColor theme="5" tint="0.59996337778862885"/>
        </patternFill>
      </fill>
    </dxf>
    <dxf>
      <fill>
        <patternFill>
          <bgColor theme="6" tint="0.39994506668294322"/>
        </patternFill>
      </fill>
    </dxf>
    <dxf>
      <font>
        <color rgb="FFFF0000"/>
      </font>
    </dxf>
    <dxf>
      <font>
        <color theme="5" tint="0.39994506668294322"/>
      </font>
      <fill>
        <patternFill>
          <bgColor theme="5" tint="-0.24994659260841701"/>
        </patternFill>
      </fill>
    </dxf>
    <dxf>
      <font>
        <color theme="1"/>
      </font>
      <fill>
        <patternFill>
          <bgColor theme="6" tint="0.39994506668294322"/>
        </patternFill>
      </fill>
    </dxf>
    <dxf>
      <font>
        <color theme="5" tint="-0.24994659260841701"/>
      </font>
      <fill>
        <patternFill>
          <bgColor theme="5" tint="0.59996337778862885"/>
        </patternFill>
      </fill>
    </dxf>
    <dxf>
      <font>
        <color rgb="FFFF0000"/>
      </font>
      <fill>
        <patternFill patternType="none">
          <bgColor auto="1"/>
        </patternFill>
      </fill>
    </dxf>
    <dxf>
      <font>
        <color theme="5" tint="0.59996337778862885"/>
      </font>
      <fill>
        <patternFill>
          <bgColor theme="5" tint="-0.24994659260841701"/>
        </patternFill>
      </fill>
    </dxf>
    <dxf>
      <font>
        <color theme="5" tint="0.59996337778862885"/>
      </font>
      <fill>
        <patternFill>
          <bgColor theme="5" tint="-0.24994659260841701"/>
        </patternFill>
      </fill>
    </dxf>
    <dxf>
      <font>
        <color theme="5" tint="0.59996337778862885"/>
      </font>
      <fill>
        <patternFill>
          <bgColor theme="5" tint="-0.24994659260841701"/>
        </patternFill>
      </fill>
    </dxf>
  </dxfs>
  <tableStyles count="0" defaultTableStyle="TableStyleMedium2" defaultPivotStyle="PivotStyleLight16"/>
  <colors>
    <mruColors>
      <color rgb="FFFFB871"/>
      <color rgb="FFFFFF99"/>
      <color rgb="FF2F52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10</xdr:col>
      <xdr:colOff>47625</xdr:colOff>
      <xdr:row>22</xdr:row>
      <xdr:rowOff>66675</xdr:rowOff>
    </xdr:from>
    <xdr:to>
      <xdr:col>10</xdr:col>
      <xdr:colOff>47625</xdr:colOff>
      <xdr:row>25</xdr:row>
      <xdr:rowOff>76200</xdr:rowOff>
    </xdr:to>
    <xdr:cxnSp macro="">
      <xdr:nvCxnSpPr>
        <xdr:cNvPr id="10" name="Straight Arrow Connector 9"/>
        <xdr:cNvCxnSpPr/>
      </xdr:nvCxnSpPr>
      <xdr:spPr>
        <a:xfrm>
          <a:off x="4381500" y="3543300"/>
          <a:ext cx="0" cy="581025"/>
        </a:xfrm>
        <a:prstGeom prst="straightConnector1">
          <a:avLst/>
        </a:prstGeom>
        <a:ln w="190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26459</xdr:colOff>
      <xdr:row>26</xdr:row>
      <xdr:rowOff>269874</xdr:rowOff>
    </xdr:from>
    <xdr:to>
      <xdr:col>10</xdr:col>
      <xdr:colOff>26459</xdr:colOff>
      <xdr:row>29</xdr:row>
      <xdr:rowOff>184149</xdr:rowOff>
    </xdr:to>
    <xdr:cxnSp macro="">
      <xdr:nvCxnSpPr>
        <xdr:cNvPr id="11" name="Straight Arrow Connector 10"/>
        <xdr:cNvCxnSpPr/>
      </xdr:nvCxnSpPr>
      <xdr:spPr>
        <a:xfrm>
          <a:off x="8355542" y="5752041"/>
          <a:ext cx="0" cy="644525"/>
        </a:xfrm>
        <a:prstGeom prst="straightConnector1">
          <a:avLst/>
        </a:prstGeom>
        <a:ln w="190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533400</xdr:colOff>
      <xdr:row>26</xdr:row>
      <xdr:rowOff>236006</xdr:rowOff>
    </xdr:from>
    <xdr:to>
      <xdr:col>12</xdr:col>
      <xdr:colOff>400050</xdr:colOff>
      <xdr:row>26</xdr:row>
      <xdr:rowOff>236006</xdr:rowOff>
    </xdr:to>
    <xdr:cxnSp macro="">
      <xdr:nvCxnSpPr>
        <xdr:cNvPr id="12" name="Straight Arrow Connector 11"/>
        <xdr:cNvCxnSpPr/>
      </xdr:nvCxnSpPr>
      <xdr:spPr>
        <a:xfrm>
          <a:off x="9476317" y="5665256"/>
          <a:ext cx="480483" cy="0"/>
        </a:xfrm>
        <a:prstGeom prst="straightConnector1">
          <a:avLst/>
        </a:prstGeom>
        <a:ln w="19050">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xdr:colOff>
      <xdr:row>0</xdr:row>
      <xdr:rowOff>9809</xdr:rowOff>
    </xdr:from>
    <xdr:to>
      <xdr:col>0</xdr:col>
      <xdr:colOff>1707319</xdr:colOff>
      <xdr:row>1</xdr:row>
      <xdr:rowOff>212501</xdr:rowOff>
    </xdr:to>
    <xdr:pic>
      <xdr:nvPicPr>
        <xdr:cNvPr id="6" name="Picture 5" descr="TI Logo"/>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8080"/>
        <a:stretch/>
      </xdr:blipFill>
      <xdr:spPr bwMode="auto">
        <a:xfrm>
          <a:off x="2" y="9809"/>
          <a:ext cx="1707317" cy="393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10583</xdr:colOff>
      <xdr:row>27</xdr:row>
      <xdr:rowOff>42334</xdr:rowOff>
    </xdr:from>
    <xdr:to>
      <xdr:col>4</xdr:col>
      <xdr:colOff>10583</xdr:colOff>
      <xdr:row>30</xdr:row>
      <xdr:rowOff>12987</xdr:rowOff>
    </xdr:to>
    <xdr:grpSp>
      <xdr:nvGrpSpPr>
        <xdr:cNvPr id="4" name="Group 3"/>
        <xdr:cNvGrpSpPr/>
      </xdr:nvGrpSpPr>
      <xdr:grpSpPr>
        <a:xfrm>
          <a:off x="10583" y="5881159"/>
          <a:ext cx="4819650" cy="704078"/>
          <a:chOff x="9048750" y="2243668"/>
          <a:chExt cx="4561415" cy="489236"/>
        </a:xfrm>
      </xdr:grpSpPr>
      <mc:AlternateContent xmlns:mc="http://schemas.openxmlformats.org/markup-compatibility/2006" xmlns:a14="http://schemas.microsoft.com/office/drawing/2010/main">
        <mc:Choice Requires="a14">
          <xdr:sp macro="" textlink="">
            <xdr:nvSpPr>
              <xdr:cNvPr id="2" name="TextBox 1"/>
              <xdr:cNvSpPr txBox="1"/>
            </xdr:nvSpPr>
            <xdr:spPr>
              <a:xfrm>
                <a:off x="9048750" y="2243668"/>
                <a:ext cx="2226765" cy="488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R</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S</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MIN</m:t>
                          </m:r>
                        </m:sub>
                      </m:sSub>
                      <m:r>
                        <a:rPr lang="en-US" sz="1200" i="0">
                          <a:solidFill>
                            <a:schemeClr val="tx1"/>
                          </a:solidFill>
                          <a:effectLst/>
                          <a:latin typeface="Cambria Math" panose="02040503050406030204" pitchFamily="18" charset="0"/>
                          <a:ea typeface="Cambria Math" panose="02040503050406030204" pitchFamily="18" charset="0"/>
                          <a:cs typeface="+mn-cs"/>
                        </a:rPr>
                        <m:t>=</m:t>
                      </m:r>
                      <m:f>
                        <m:fPr>
                          <m:ctrlPr>
                            <a:rPr lang="en-US" sz="1200" i="1">
                              <a:solidFill>
                                <a:schemeClr val="tx1"/>
                              </a:solidFill>
                              <a:effectLst/>
                              <a:latin typeface="Cambria Math"/>
                              <a:ea typeface="Cambria Math" panose="02040503050406030204" pitchFamily="18" charset="0"/>
                              <a:cs typeface="+mn-cs"/>
                            </a:rPr>
                          </m:ctrlPr>
                        </m:fPr>
                        <m:num>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V</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IN</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MAX</m:t>
                              </m:r>
                            </m:sub>
                          </m:sSub>
                          <m:r>
                            <a:rPr lang="en-US" sz="1200" i="0">
                              <a:solidFill>
                                <a:schemeClr val="tx1"/>
                              </a:solidFill>
                              <a:effectLst/>
                              <a:latin typeface="Cambria Math" panose="02040503050406030204" pitchFamily="18" charset="0"/>
                              <a:ea typeface="Cambria Math" panose="02040503050406030204" pitchFamily="18" charset="0"/>
                              <a:cs typeface="+mn-cs"/>
                            </a:rPr>
                            <m:t>−</m:t>
                          </m:r>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V</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OUT</m:t>
                              </m:r>
                            </m:sub>
                          </m:sSub>
                        </m:num>
                        <m:den>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I</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LOAD</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MIN</m:t>
                              </m:r>
                            </m:sub>
                          </m:sSub>
                          <m:r>
                            <a:rPr lang="en-US" sz="1200" i="0">
                              <a:solidFill>
                                <a:schemeClr val="tx1"/>
                              </a:solidFill>
                              <a:effectLst/>
                              <a:latin typeface="Cambria Math" panose="02040503050406030204" pitchFamily="18" charset="0"/>
                              <a:ea typeface="Cambria Math" panose="02040503050406030204" pitchFamily="18" charset="0"/>
                              <a:cs typeface="+mn-cs"/>
                            </a:rPr>
                            <m:t>+</m:t>
                          </m:r>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I</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Q</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MAX</m:t>
                              </m:r>
                            </m:sub>
                          </m:sSub>
                        </m:den>
                      </m:f>
                    </m:oMath>
                  </m:oMathPara>
                </a14:m>
                <a:endParaRPr lang="en-US" sz="1200" i="0">
                  <a:latin typeface="Cambria Math" panose="02040503050406030204" pitchFamily="18" charset="0"/>
                  <a:ea typeface="Cambria Math" panose="02040503050406030204" pitchFamily="18" charset="0"/>
                </a:endParaRPr>
              </a:p>
            </xdr:txBody>
          </xdr:sp>
        </mc:Choice>
        <mc:Fallback xmlns="">
          <xdr:sp macro="" textlink="">
            <xdr:nvSpPr>
              <xdr:cNvPr id="2" name="TextBox 1"/>
              <xdr:cNvSpPr txBox="1"/>
            </xdr:nvSpPr>
            <xdr:spPr>
              <a:xfrm>
                <a:off x="9048750" y="2243668"/>
                <a:ext cx="2226765" cy="488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i="0">
                    <a:solidFill>
                      <a:schemeClr val="tx1"/>
                    </a:solidFill>
                    <a:effectLst/>
                    <a:latin typeface="Cambria Math" panose="02040503050406030204" pitchFamily="18" charset="0"/>
                    <a:ea typeface="Cambria Math" panose="02040503050406030204" pitchFamily="18" charset="0"/>
                    <a:cs typeface="+mn-cs"/>
                  </a:rPr>
                  <a:t>R_(S_MIN)=(V_(IN_MAX)−V_OUT)/(I_(LOAD_MIN)+I_(Q_MAX) )</a:t>
                </a:r>
                <a:endParaRPr lang="en-US" sz="1200" i="0">
                  <a:latin typeface="Cambria Math" panose="02040503050406030204" pitchFamily="18" charset="0"/>
                  <a:ea typeface="Cambria Math" panose="02040503050406030204" pitchFamily="18" charset="0"/>
                </a:endParaRPr>
              </a:p>
            </xdr:txBody>
          </xdr:sp>
        </mc:Fallback>
      </mc:AlternateContent>
      <mc:AlternateContent xmlns:mc="http://schemas.openxmlformats.org/markup-compatibility/2006" xmlns:a14="http://schemas.microsoft.com/office/drawing/2010/main">
        <mc:Choice Requires="a14">
          <xdr:sp macro="" textlink="">
            <xdr:nvSpPr>
              <xdr:cNvPr id="14" name="TextBox 13"/>
              <xdr:cNvSpPr txBox="1"/>
            </xdr:nvSpPr>
            <xdr:spPr>
              <a:xfrm>
                <a:off x="11377083" y="2243668"/>
                <a:ext cx="2233082" cy="489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R</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S</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MAX</m:t>
                          </m:r>
                        </m:sub>
                      </m:sSub>
                      <m:r>
                        <a:rPr lang="en-US" sz="1200" i="0">
                          <a:solidFill>
                            <a:schemeClr val="tx1"/>
                          </a:solidFill>
                          <a:effectLst/>
                          <a:latin typeface="Cambria Math" panose="02040503050406030204" pitchFamily="18" charset="0"/>
                          <a:ea typeface="Cambria Math" panose="02040503050406030204" pitchFamily="18" charset="0"/>
                          <a:cs typeface="+mn-cs"/>
                        </a:rPr>
                        <m:t>=</m:t>
                      </m:r>
                      <m:f>
                        <m:fPr>
                          <m:ctrlPr>
                            <a:rPr lang="en-US" sz="1200" i="1">
                              <a:solidFill>
                                <a:schemeClr val="tx1"/>
                              </a:solidFill>
                              <a:effectLst/>
                              <a:latin typeface="Cambria Math"/>
                              <a:ea typeface="Cambria Math" panose="02040503050406030204" pitchFamily="18" charset="0"/>
                              <a:cs typeface="+mn-cs"/>
                            </a:rPr>
                          </m:ctrlPr>
                        </m:fPr>
                        <m:num>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V</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IN</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MIN</m:t>
                              </m:r>
                            </m:sub>
                          </m:sSub>
                          <m:r>
                            <a:rPr lang="en-US" sz="1200" i="0">
                              <a:solidFill>
                                <a:schemeClr val="tx1"/>
                              </a:solidFill>
                              <a:effectLst/>
                              <a:latin typeface="Cambria Math" panose="02040503050406030204" pitchFamily="18" charset="0"/>
                              <a:ea typeface="Cambria Math" panose="02040503050406030204" pitchFamily="18" charset="0"/>
                              <a:cs typeface="+mn-cs"/>
                            </a:rPr>
                            <m:t>−</m:t>
                          </m:r>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V</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OUT</m:t>
                              </m:r>
                            </m:sub>
                          </m:sSub>
                        </m:num>
                        <m:den>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I</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LOAD</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MAX</m:t>
                              </m:r>
                            </m:sub>
                          </m:sSub>
                          <m:r>
                            <a:rPr lang="en-US" sz="1200" i="0">
                              <a:solidFill>
                                <a:schemeClr val="tx1"/>
                              </a:solidFill>
                              <a:effectLst/>
                              <a:latin typeface="Cambria Math" panose="02040503050406030204" pitchFamily="18" charset="0"/>
                              <a:ea typeface="Cambria Math" panose="02040503050406030204" pitchFamily="18" charset="0"/>
                              <a:cs typeface="+mn-cs"/>
                            </a:rPr>
                            <m:t>+</m:t>
                          </m:r>
                          <m:sSub>
                            <m:sSubPr>
                              <m:ctrlPr>
                                <a:rPr lang="en-US" sz="1200" i="1">
                                  <a:solidFill>
                                    <a:schemeClr val="tx1"/>
                                  </a:solidFill>
                                  <a:effectLst/>
                                  <a:latin typeface="Cambria Math"/>
                                  <a:ea typeface="Cambria Math" panose="02040503050406030204" pitchFamily="18" charset="0"/>
                                  <a:cs typeface="+mn-cs"/>
                                </a:rPr>
                              </m:ctrlPr>
                            </m:sSubPr>
                            <m:e>
                              <m:r>
                                <m:rPr>
                                  <m:sty m:val="p"/>
                                </m:rPr>
                                <a:rPr lang="en-US" sz="1200" i="0">
                                  <a:solidFill>
                                    <a:schemeClr val="tx1"/>
                                  </a:solidFill>
                                  <a:effectLst/>
                                  <a:latin typeface="Cambria Math" panose="02040503050406030204" pitchFamily="18" charset="0"/>
                                  <a:ea typeface="Cambria Math" panose="02040503050406030204" pitchFamily="18" charset="0"/>
                                  <a:cs typeface="+mn-cs"/>
                                </a:rPr>
                                <m:t>I</m:t>
                              </m:r>
                            </m:e>
                            <m:sub>
                              <m:r>
                                <m:rPr>
                                  <m:sty m:val="p"/>
                                </m:rPr>
                                <a:rPr lang="en-US" sz="1200" i="0">
                                  <a:solidFill>
                                    <a:schemeClr val="tx1"/>
                                  </a:solidFill>
                                  <a:effectLst/>
                                  <a:latin typeface="Cambria Math" panose="02040503050406030204" pitchFamily="18" charset="0"/>
                                  <a:ea typeface="Cambria Math" panose="02040503050406030204" pitchFamily="18" charset="0"/>
                                  <a:cs typeface="+mn-cs"/>
                                </a:rPr>
                                <m:t>Q</m:t>
                              </m:r>
                              <m:r>
                                <a:rPr lang="en-US" sz="1200" i="0">
                                  <a:solidFill>
                                    <a:schemeClr val="tx1"/>
                                  </a:solidFill>
                                  <a:effectLst/>
                                  <a:latin typeface="Cambria Math" panose="02040503050406030204" pitchFamily="18" charset="0"/>
                                  <a:ea typeface="Cambria Math" panose="02040503050406030204" pitchFamily="18" charset="0"/>
                                  <a:cs typeface="+mn-cs"/>
                                </a:rPr>
                                <m:t>_</m:t>
                              </m:r>
                              <m:r>
                                <m:rPr>
                                  <m:sty m:val="p"/>
                                </m:rPr>
                                <a:rPr lang="en-US" sz="1200" i="0">
                                  <a:solidFill>
                                    <a:schemeClr val="tx1"/>
                                  </a:solidFill>
                                  <a:effectLst/>
                                  <a:latin typeface="Cambria Math" panose="02040503050406030204" pitchFamily="18" charset="0"/>
                                  <a:ea typeface="Cambria Math" panose="02040503050406030204" pitchFamily="18" charset="0"/>
                                  <a:cs typeface="+mn-cs"/>
                                </a:rPr>
                                <m:t>MIN</m:t>
                              </m:r>
                            </m:sub>
                          </m:sSub>
                        </m:den>
                      </m:f>
                    </m:oMath>
                  </m:oMathPara>
                </a14:m>
                <a:endParaRPr lang="en-US" sz="1200" i="0">
                  <a:latin typeface="Cambria Math" panose="02040503050406030204" pitchFamily="18" charset="0"/>
                  <a:ea typeface="Cambria Math" panose="02040503050406030204" pitchFamily="18" charset="0"/>
                </a:endParaRPr>
              </a:p>
            </xdr:txBody>
          </xdr:sp>
        </mc:Choice>
        <mc:Fallback xmlns="">
          <xdr:sp macro="" textlink="">
            <xdr:nvSpPr>
              <xdr:cNvPr id="14" name="TextBox 13"/>
              <xdr:cNvSpPr txBox="1"/>
            </xdr:nvSpPr>
            <xdr:spPr>
              <a:xfrm>
                <a:off x="11377083" y="2243668"/>
                <a:ext cx="2233082" cy="489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i="0">
                    <a:solidFill>
                      <a:schemeClr val="tx1"/>
                    </a:solidFill>
                    <a:effectLst/>
                    <a:latin typeface="Cambria Math" panose="02040503050406030204" pitchFamily="18" charset="0"/>
                    <a:ea typeface="Cambria Math" panose="02040503050406030204" pitchFamily="18" charset="0"/>
                    <a:cs typeface="+mn-cs"/>
                  </a:rPr>
                  <a:t>R_(S_MAX)=(V_(IN_MIN)−V_OUT)/(I_(LOAD_MAX)+I_(Q_MIN) )</a:t>
                </a:r>
                <a:endParaRPr lang="en-US" sz="1200" i="0">
                  <a:latin typeface="Cambria Math" panose="02040503050406030204" pitchFamily="18" charset="0"/>
                  <a:ea typeface="Cambria Math" panose="02040503050406030204" pitchFamily="18" charset="0"/>
                </a:endParaRPr>
              </a:p>
            </xdr:txBody>
          </xdr:sp>
        </mc:Fallback>
      </mc:AlternateContent>
    </xdr:grpSp>
    <xdr:clientData/>
  </xdr:twoCellAnchor>
  <xdr:twoCellAnchor editAs="oneCell">
    <xdr:from>
      <xdr:col>9</xdr:col>
      <xdr:colOff>771524</xdr:colOff>
      <xdr:row>19</xdr:row>
      <xdr:rowOff>161925</xdr:rowOff>
    </xdr:from>
    <xdr:to>
      <xdr:col>13</xdr:col>
      <xdr:colOff>243704</xdr:colOff>
      <xdr:row>32</xdr:row>
      <xdr:rowOff>142875</xdr:rowOff>
    </xdr:to>
    <xdr:pic>
      <xdr:nvPicPr>
        <xdr:cNvPr id="18" name="Picture 17"/>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24849" y="4238625"/>
          <a:ext cx="2072505" cy="301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ebench.ti.com/webench5/voltagereference/" TargetMode="External"/><Relationship Id="rId7" Type="http://schemas.openxmlformats.org/officeDocument/2006/relationships/comments" Target="../comments1.xml"/><Relationship Id="rId2" Type="http://schemas.openxmlformats.org/officeDocument/2006/relationships/hyperlink" Target="http://www.ti.com/lsds/ti/analog/webench/vref.page" TargetMode="External"/><Relationship Id="rId1" Type="http://schemas.openxmlformats.org/officeDocument/2006/relationships/hyperlink" Target="http://ti.com/vref"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T43"/>
  <sheetViews>
    <sheetView showGridLines="0" tabSelected="1" zoomScaleNormal="100" workbookViewId="0">
      <selection activeCell="P10" sqref="P10"/>
    </sheetView>
  </sheetViews>
  <sheetFormatPr defaultRowHeight="15" x14ac:dyDescent="0.25"/>
  <cols>
    <col min="1" max="1" width="29.85546875" customWidth="1"/>
    <col min="2" max="2" width="11.7109375" customWidth="1"/>
    <col min="3" max="3" width="12.5703125" customWidth="1"/>
    <col min="4" max="4" width="18.140625" customWidth="1"/>
    <col min="5" max="5" width="2.42578125" customWidth="1"/>
    <col min="6" max="6" width="11.7109375" bestFit="1" customWidth="1"/>
    <col min="7" max="7" width="11" customWidth="1"/>
    <col min="8" max="8" width="4.85546875" bestFit="1" customWidth="1"/>
    <col min="9" max="9" width="9.7109375" customWidth="1"/>
    <col min="10" max="10" width="11.5703125" customWidth="1"/>
    <col min="11" max="11" width="9.140625" customWidth="1"/>
    <col min="14" max="14" width="10.28515625" customWidth="1"/>
    <col min="15" max="15" width="9.28515625" customWidth="1"/>
    <col min="16" max="16" width="10.42578125" customWidth="1"/>
    <col min="17" max="17" width="12" hidden="1" customWidth="1"/>
    <col min="18" max="19" width="9.140625" hidden="1" customWidth="1"/>
    <col min="20" max="20" width="9.140625" customWidth="1"/>
  </cols>
  <sheetData>
    <row r="1" spans="1:20" ht="15" customHeight="1" x14ac:dyDescent="0.25">
      <c r="A1" s="124" t="s">
        <v>35</v>
      </c>
      <c r="B1" s="125"/>
      <c r="C1" s="125"/>
      <c r="D1" s="125"/>
      <c r="E1" s="125"/>
      <c r="F1" s="125"/>
      <c r="G1" s="125"/>
      <c r="H1" s="125"/>
      <c r="I1" s="125"/>
      <c r="J1" s="125"/>
      <c r="K1" s="47"/>
      <c r="L1" s="47"/>
      <c r="M1" s="47"/>
      <c r="N1" s="45"/>
    </row>
    <row r="2" spans="1:20" ht="18" customHeight="1" thickBot="1" x14ac:dyDescent="0.3">
      <c r="A2" s="126"/>
      <c r="B2" s="127"/>
      <c r="C2" s="127"/>
      <c r="D2" s="127"/>
      <c r="E2" s="127"/>
      <c r="F2" s="127"/>
      <c r="G2" s="127"/>
      <c r="H2" s="127"/>
      <c r="I2" s="127"/>
      <c r="J2" s="127"/>
      <c r="K2" s="49"/>
      <c r="L2" s="49"/>
      <c r="M2" s="49"/>
      <c r="N2" s="48" t="s">
        <v>17</v>
      </c>
    </row>
    <row r="3" spans="1:20" ht="18" customHeight="1" thickBot="1" x14ac:dyDescent="0.3">
      <c r="B3" s="12"/>
      <c r="C3" s="12"/>
      <c r="D3" s="12"/>
      <c r="E3" s="12"/>
      <c r="F3" s="12"/>
      <c r="G3" s="12"/>
      <c r="H3" s="12"/>
      <c r="I3" s="12"/>
      <c r="J3" s="12"/>
      <c r="K3" s="12"/>
      <c r="L3" s="12"/>
      <c r="M3" s="12"/>
      <c r="N3" s="19"/>
    </row>
    <row r="4" spans="1:20" ht="23.45" customHeight="1" thickBot="1" x14ac:dyDescent="0.3">
      <c r="A4" s="81" t="s">
        <v>22</v>
      </c>
      <c r="B4" s="82"/>
      <c r="C4" s="82"/>
      <c r="D4" s="83"/>
      <c r="E4" s="12"/>
      <c r="F4" s="81" t="str">
        <f>"1) Rs Quick Start " &amp;  R24</f>
        <v xml:space="preserve">1) Rs Quick Start </v>
      </c>
      <c r="G4" s="82"/>
      <c r="H4" s="82"/>
      <c r="I4" s="82"/>
      <c r="J4" s="82"/>
      <c r="K4" s="82"/>
      <c r="L4" s="82"/>
      <c r="M4" s="82"/>
      <c r="N4" s="83"/>
    </row>
    <row r="5" spans="1:20" ht="15" customHeight="1" x14ac:dyDescent="0.3">
      <c r="A5" s="98" t="s">
        <v>61</v>
      </c>
      <c r="B5" s="99"/>
      <c r="C5" s="99"/>
      <c r="D5" s="100"/>
      <c r="E5" s="14"/>
      <c r="F5" s="51"/>
      <c r="G5" s="168"/>
      <c r="H5" s="168"/>
      <c r="I5" s="168"/>
      <c r="J5" s="169" t="s">
        <v>7</v>
      </c>
      <c r="K5" s="170"/>
      <c r="L5" s="32" t="s">
        <v>6</v>
      </c>
      <c r="M5" s="34"/>
      <c r="N5" s="35"/>
    </row>
    <row r="6" spans="1:20" ht="15" customHeight="1" thickBot="1" x14ac:dyDescent="0.4">
      <c r="A6" s="95"/>
      <c r="B6" s="96"/>
      <c r="C6" s="96"/>
      <c r="D6" s="97"/>
      <c r="E6" s="14"/>
      <c r="F6" s="22"/>
      <c r="G6" s="142" t="s">
        <v>52</v>
      </c>
      <c r="H6" s="143"/>
      <c r="I6" s="144"/>
      <c r="J6" s="29">
        <v>2.5</v>
      </c>
      <c r="K6" s="80"/>
      <c r="L6" s="50" t="s">
        <v>4</v>
      </c>
      <c r="M6" s="13"/>
      <c r="N6" s="19"/>
    </row>
    <row r="7" spans="1:20" ht="15" customHeight="1" x14ac:dyDescent="0.3">
      <c r="A7" s="95"/>
      <c r="B7" s="96"/>
      <c r="C7" s="96"/>
      <c r="D7" s="97"/>
      <c r="E7" s="14"/>
      <c r="F7" s="22"/>
      <c r="G7" s="13"/>
      <c r="H7" s="13"/>
      <c r="I7" s="13"/>
      <c r="J7" s="32" t="s">
        <v>1</v>
      </c>
      <c r="K7" s="33" t="s">
        <v>2</v>
      </c>
      <c r="L7" s="32" t="s">
        <v>6</v>
      </c>
      <c r="M7" s="13"/>
      <c r="N7" s="19"/>
      <c r="R7" s="73"/>
    </row>
    <row r="8" spans="1:20" ht="15" customHeight="1" x14ac:dyDescent="0.3">
      <c r="A8" s="95"/>
      <c r="B8" s="96"/>
      <c r="C8" s="96"/>
      <c r="D8" s="97"/>
      <c r="E8" s="20"/>
      <c r="F8" s="22"/>
      <c r="G8" s="129" t="s">
        <v>0</v>
      </c>
      <c r="H8" s="129"/>
      <c r="I8" s="129"/>
      <c r="J8" s="165">
        <v>3</v>
      </c>
      <c r="K8" s="165">
        <v>5.5</v>
      </c>
      <c r="L8" s="50" t="s">
        <v>4</v>
      </c>
      <c r="M8" s="13"/>
      <c r="N8" s="19"/>
      <c r="R8" s="73"/>
    </row>
    <row r="9" spans="1:20" ht="15" customHeight="1" x14ac:dyDescent="0.3">
      <c r="A9" s="95"/>
      <c r="B9" s="96"/>
      <c r="C9" s="96"/>
      <c r="D9" s="97"/>
      <c r="E9" s="20"/>
      <c r="F9" s="22"/>
      <c r="G9" s="129" t="s">
        <v>3</v>
      </c>
      <c r="H9" s="129"/>
      <c r="I9" s="129"/>
      <c r="J9" s="37">
        <v>1E-3</v>
      </c>
      <c r="K9" s="37">
        <v>2E-3</v>
      </c>
      <c r="L9" s="50" t="s">
        <v>5</v>
      </c>
      <c r="M9" s="30"/>
      <c r="N9" s="31"/>
    </row>
    <row r="10" spans="1:20" ht="17.25" customHeight="1" x14ac:dyDescent="0.35">
      <c r="A10" s="95"/>
      <c r="B10" s="96"/>
      <c r="C10" s="96"/>
      <c r="D10" s="97"/>
      <c r="E10" s="20"/>
      <c r="F10" s="22"/>
      <c r="G10" s="129" t="s">
        <v>53</v>
      </c>
      <c r="H10" s="129"/>
      <c r="I10" s="129"/>
      <c r="J10" s="37">
        <v>5.0000000000000002E-5</v>
      </c>
      <c r="K10" s="37">
        <v>1.4999999999999999E-2</v>
      </c>
      <c r="L10" s="50" t="s">
        <v>5</v>
      </c>
      <c r="M10" s="30"/>
      <c r="N10" s="31"/>
      <c r="R10" s="73"/>
      <c r="T10" s="73"/>
    </row>
    <row r="11" spans="1:20" ht="18.75" x14ac:dyDescent="0.3">
      <c r="A11" s="95"/>
      <c r="B11" s="96"/>
      <c r="C11" s="96"/>
      <c r="D11" s="97"/>
      <c r="E11" s="20"/>
      <c r="F11" s="22"/>
      <c r="G11" s="13"/>
      <c r="H11" s="90"/>
      <c r="I11" s="90"/>
      <c r="J11" s="79"/>
      <c r="K11" s="78"/>
      <c r="L11" s="53"/>
      <c r="M11" s="30"/>
      <c r="N11" s="31"/>
    </row>
    <row r="12" spans="1:20" ht="15" customHeight="1" x14ac:dyDescent="0.3">
      <c r="A12" s="92" t="s">
        <v>62</v>
      </c>
      <c r="B12" s="93"/>
      <c r="C12" s="93"/>
      <c r="D12" s="94"/>
      <c r="E12" s="20"/>
      <c r="F12" s="22"/>
      <c r="G12" s="13"/>
      <c r="H12" s="90"/>
      <c r="I12" s="91"/>
      <c r="J12" s="5" t="s">
        <v>7</v>
      </c>
      <c r="K12" s="87" t="s">
        <v>11</v>
      </c>
      <c r="L12" s="88"/>
      <c r="M12" s="87" t="s">
        <v>12</v>
      </c>
      <c r="N12" s="171"/>
      <c r="Q12" t="s">
        <v>18</v>
      </c>
      <c r="R12" t="s">
        <v>19</v>
      </c>
    </row>
    <row r="13" spans="1:20" ht="15" customHeight="1" x14ac:dyDescent="0.35">
      <c r="A13" s="95"/>
      <c r="B13" s="96"/>
      <c r="C13" s="96"/>
      <c r="D13" s="97"/>
      <c r="E13" s="20"/>
      <c r="F13" s="22"/>
      <c r="G13" s="13"/>
      <c r="H13" s="145" t="s">
        <v>63</v>
      </c>
      <c r="I13" s="145"/>
      <c r="J13" s="2" t="str">
        <f>IF(Q13/1000&gt;1,CONCATENATE(TEXT(Q13/1000,"##0.0##")," kΩ"),CONCATENATE(TEXT(Q13,"##0.0")," Ω"))</f>
        <v>187.5 Ω</v>
      </c>
      <c r="K13" s="89" t="str">
        <f>CONCATENATE(IF(R13/1000&gt;=1,CONCATENATE(TEXT(R13/1000,"###.###")," kΩ"),CONCATENATE(TEXT(R13,"###.0#")," Ω"))," (",R17,")")</f>
        <v>196.0 Ω (45.9 mW)</v>
      </c>
      <c r="L13" s="89"/>
      <c r="M13" s="101" t="str">
        <f>CONCATENATE(IF(S13/1000&gt;=1,CONCATENATE(TEXT(S13/1000,"###.###")," kΩ"),CONCATENATE(TEXT(S13,"###.0#")," Ω"))," (",S17,")")</f>
        <v>200.0 Ω (45.0 mW)</v>
      </c>
      <c r="N13" s="172"/>
      <c r="Q13" s="3">
        <f>(K8-J6)/(J9+K10)</f>
        <v>187.5</v>
      </c>
      <c r="R13" s="2">
        <f>INDEX(Rs!D2:D652,MATCH(Q13,Rs!D2:D652,-1))</f>
        <v>196</v>
      </c>
      <c r="S13" s="2">
        <f>INDEX(Rs!E2:E169,MATCH(Q13,Rs!E2:E169,-1))</f>
        <v>200</v>
      </c>
    </row>
    <row r="14" spans="1:20" ht="15" customHeight="1" thickBot="1" x14ac:dyDescent="0.4">
      <c r="A14" s="95" t="s">
        <v>59</v>
      </c>
      <c r="B14" s="96"/>
      <c r="C14" s="96"/>
      <c r="D14" s="97"/>
      <c r="E14" s="20"/>
      <c r="F14" s="173"/>
      <c r="G14" s="174"/>
      <c r="H14" s="175" t="s">
        <v>64</v>
      </c>
      <c r="I14" s="175"/>
      <c r="J14" s="176" t="str">
        <f>IF(Q14/1000&gt;1,CONCATENATE(TEXT(Q14/1000,"###.###")," kΩ"),CONCATENATE(TEXT(Q14,"###.#")," Ω"))</f>
        <v>243.9 Ω</v>
      </c>
      <c r="K14" s="177" t="str">
        <f>IFERROR(CONCATENATE(IF(R14/1000&gt;=1,CONCATENATE(TEXT(R14/1000,"###.0##")," kΩ"),CONCATENATE(TEXT(R14,"###.0#")," Ω"))," (",R18,")"),"Error")</f>
        <v>243.0 Ω (37.0 mW)</v>
      </c>
      <c r="L14" s="177"/>
      <c r="M14" s="177" t="str">
        <f>IFERROR(CONCATENATE(IF(S14/1000&gt;=1,CONCATENATE(TEXT(S14/1000,"##0.0##")," kΩ"),CONCATENATE(TEXT(S14,"##0.0#")," Ω"))," (",S18,")"),"Error")</f>
        <v>240.0 Ω (37.5 mW)</v>
      </c>
      <c r="N14" s="178"/>
      <c r="Q14" s="4">
        <f>(J8-J6)/(K9+J10)</f>
        <v>243.90243902439022</v>
      </c>
      <c r="R14" s="10">
        <f>INDEX(Rs!A2:A652,MATCH(Q14,Rs!A2:A652))</f>
        <v>243</v>
      </c>
      <c r="S14" s="10">
        <f>INDEX(Rs!B2:B169,MATCH(Q14,Rs!B2:B169))</f>
        <v>240</v>
      </c>
    </row>
    <row r="15" spans="1:20" ht="15" customHeight="1" x14ac:dyDescent="0.3">
      <c r="A15" s="121"/>
      <c r="B15" s="122"/>
      <c r="C15" s="122"/>
      <c r="D15" s="123"/>
      <c r="E15" s="20"/>
      <c r="F15" s="111" t="str">
        <f>CONCATENATE(Q24,Q25,Q26,Q27,Q28,Q29)</f>
        <v>No Errors</v>
      </c>
      <c r="G15" s="112"/>
      <c r="H15" s="112"/>
      <c r="I15" s="112"/>
      <c r="J15" s="112"/>
      <c r="K15" s="112"/>
      <c r="L15" s="112"/>
      <c r="M15" s="112"/>
      <c r="N15" s="113"/>
      <c r="Q15" s="117" t="s">
        <v>39</v>
      </c>
      <c r="R15" s="74">
        <f>($K$8-$J$6)^2/R13</f>
        <v>4.5918367346938778E-2</v>
      </c>
      <c r="S15" s="74">
        <f>($K$8-$J$6)^2/S13</f>
        <v>4.4999999999999998E-2</v>
      </c>
    </row>
    <row r="16" spans="1:20" ht="18.75" customHeight="1" x14ac:dyDescent="0.3">
      <c r="A16" s="92" t="s">
        <v>36</v>
      </c>
      <c r="B16" s="93"/>
      <c r="C16" s="93"/>
      <c r="D16" s="94"/>
      <c r="E16" s="14"/>
      <c r="F16" s="111"/>
      <c r="G16" s="112"/>
      <c r="H16" s="112"/>
      <c r="I16" s="112"/>
      <c r="J16" s="112"/>
      <c r="K16" s="112"/>
      <c r="L16" s="112"/>
      <c r="M16" s="112"/>
      <c r="N16" s="113"/>
      <c r="Q16" s="117"/>
      <c r="R16" s="74">
        <f>($K$8-$J$6)^2/R14</f>
        <v>3.7037037037037035E-2</v>
      </c>
      <c r="S16" s="74">
        <f>($K$8-$J$6)^2/S14</f>
        <v>3.7499999999999999E-2</v>
      </c>
    </row>
    <row r="17" spans="1:19" ht="18.75" customHeight="1" thickBot="1" x14ac:dyDescent="0.35">
      <c r="A17" s="118"/>
      <c r="B17" s="119"/>
      <c r="C17" s="119"/>
      <c r="D17" s="120"/>
      <c r="E17" s="14"/>
      <c r="F17" s="114"/>
      <c r="G17" s="115"/>
      <c r="H17" s="115"/>
      <c r="I17" s="115"/>
      <c r="J17" s="115"/>
      <c r="K17" s="115"/>
      <c r="L17" s="115"/>
      <c r="M17" s="115"/>
      <c r="N17" s="116"/>
      <c r="R17" s="75" t="str">
        <f>IF(R15*1000&gt;=1,CONCATENATE(TEXT(R15*1000,"0.0")," mW"),IF(R15*1000000&gt;=1,CONCATENATE(TEXT(R15*1000000,"0.0")," μW"),CONCATENATE(TEXT(R15,"##0.0#"),"W")))</f>
        <v>45.9 mW</v>
      </c>
      <c r="S17" s="75" t="str">
        <f>IF(S15*1000&gt;=1,CONCATENATE(TEXT(S15*1000,"0.0")," mW"),IF(S15*1000000&gt;=1,CONCATENATE(TEXT(S15*1000000,"0.0")," μW"),CONCATENATE(TEXT(S15,"##0.0#"),"W")))</f>
        <v>45.0 mW</v>
      </c>
    </row>
    <row r="18" spans="1:19" ht="11.25" customHeight="1" thickBot="1" x14ac:dyDescent="0.35">
      <c r="A18" s="42"/>
      <c r="B18" s="43"/>
      <c r="C18" s="43"/>
      <c r="D18" s="43"/>
      <c r="E18" s="14"/>
      <c r="F18" s="21"/>
      <c r="G18" s="21"/>
      <c r="H18" s="21"/>
      <c r="I18" s="13"/>
      <c r="J18" s="13"/>
      <c r="K18" s="13"/>
      <c r="L18" s="13"/>
      <c r="M18" s="13"/>
      <c r="N18" s="19"/>
      <c r="R18" s="75" t="str">
        <f>IF(R16*1000&gt;=1,CONCATENATE(TEXT(R16*1000,"0.0")," mW"),IF(R16*1000000&gt;=1,CONCATENATE(TEXT(R16*1000000,"0.0")," μW"),CONCATENATE(TEXT(R16,"##0.0#"),"W")))</f>
        <v>37.0 mW</v>
      </c>
      <c r="S18" s="75" t="str">
        <f>IF(S16*1000&gt;=1,CONCATENATE(TEXT(S16*1000,"0.0")," mW"),IF(S16*1000000&gt;=1,CONCATENATE(TEXT(S16*1000000,"0.0")," μW"),CONCATENATE(TEXT(S16,"##0.0#"),"W")))</f>
        <v>37.5 mW</v>
      </c>
    </row>
    <row r="19" spans="1:19" ht="23.45" customHeight="1" thickBot="1" x14ac:dyDescent="0.3">
      <c r="A19" s="84" t="s">
        <v>27</v>
      </c>
      <c r="B19" s="85"/>
      <c r="C19" s="85"/>
      <c r="D19" s="86"/>
      <c r="E19" s="13"/>
      <c r="F19" s="44"/>
      <c r="G19" s="82" t="str">
        <f>"2) Schematic  Overlay  " &amp; R32</f>
        <v xml:space="preserve">2) Schematic  Overlay  </v>
      </c>
      <c r="H19" s="82"/>
      <c r="I19" s="82"/>
      <c r="J19" s="82"/>
      <c r="K19" s="82"/>
      <c r="L19" s="82"/>
      <c r="M19" s="82"/>
      <c r="N19" s="60"/>
    </row>
    <row r="20" spans="1:19" ht="16.5" thickBot="1" x14ac:dyDescent="0.3">
      <c r="A20" s="46" t="s">
        <v>23</v>
      </c>
      <c r="B20" s="108" t="s">
        <v>24</v>
      </c>
      <c r="C20" s="109"/>
      <c r="D20" s="110"/>
      <c r="E20" s="13"/>
      <c r="F20" s="62" t="s">
        <v>9</v>
      </c>
      <c r="G20" s="63" t="s">
        <v>7</v>
      </c>
      <c r="H20" s="64" t="s">
        <v>6</v>
      </c>
      <c r="I20" s="70"/>
      <c r="J20" s="150"/>
      <c r="K20" s="150"/>
      <c r="L20" s="150"/>
      <c r="M20" s="150"/>
      <c r="N20" s="151"/>
    </row>
    <row r="21" spans="1:19" ht="15" customHeight="1" x14ac:dyDescent="0.35">
      <c r="A21" s="102" t="s">
        <v>25</v>
      </c>
      <c r="B21" s="104" t="s">
        <v>37</v>
      </c>
      <c r="C21" s="104"/>
      <c r="D21" s="105"/>
      <c r="E21" s="13"/>
      <c r="F21" s="138" t="s">
        <v>49</v>
      </c>
      <c r="G21" s="55">
        <f>J6</f>
        <v>2.5</v>
      </c>
      <c r="H21" s="65" t="s">
        <v>4</v>
      </c>
      <c r="I21" s="9"/>
      <c r="J21" s="152"/>
      <c r="K21" s="153" t="s">
        <v>54</v>
      </c>
      <c r="L21" s="154" t="str">
        <f>CONCATENATE(G24," V")</f>
        <v>3.8 V</v>
      </c>
      <c r="M21" s="152"/>
      <c r="N21" s="155"/>
      <c r="Q21" t="s">
        <v>21</v>
      </c>
      <c r="R21">
        <f>IFERROR(MATCH(G26,Rs!A2:A652,0),-1)</f>
        <v>215</v>
      </c>
      <c r="S21">
        <f>IFERROR(MATCH(G26,Rs!B2:B652,0),-1)</f>
        <v>-1</v>
      </c>
    </row>
    <row r="22" spans="1:19" ht="15" customHeight="1" x14ac:dyDescent="0.35">
      <c r="A22" s="103"/>
      <c r="B22" s="106"/>
      <c r="C22" s="106"/>
      <c r="D22" s="107"/>
      <c r="E22" s="13"/>
      <c r="F22" s="140" t="s">
        <v>47</v>
      </c>
      <c r="G22" s="56">
        <f>J10</f>
        <v>5.0000000000000002E-5</v>
      </c>
      <c r="H22" s="66" t="s">
        <v>5</v>
      </c>
      <c r="I22" s="9"/>
      <c r="J22" s="152"/>
      <c r="K22" s="152"/>
      <c r="L22" s="152"/>
      <c r="M22" s="152"/>
      <c r="N22" s="155"/>
      <c r="Q22" t="s">
        <v>20</v>
      </c>
      <c r="R22">
        <f>COUNTA(Q25:Q29)-COUNTIF(Q25:Q29,"")</f>
        <v>0</v>
      </c>
    </row>
    <row r="23" spans="1:19" ht="15" customHeight="1" x14ac:dyDescent="0.35">
      <c r="A23" s="130" t="s">
        <v>26</v>
      </c>
      <c r="B23" s="132" t="s">
        <v>38</v>
      </c>
      <c r="C23" s="132"/>
      <c r="D23" s="133"/>
      <c r="E23" s="13"/>
      <c r="F23" s="140" t="s">
        <v>48</v>
      </c>
      <c r="G23" s="56">
        <f>K10</f>
        <v>1.4999999999999999E-2</v>
      </c>
      <c r="H23" s="66" t="s">
        <v>5</v>
      </c>
      <c r="I23" s="9"/>
      <c r="J23" s="152"/>
      <c r="K23" s="152"/>
      <c r="L23" s="152"/>
      <c r="M23" s="152"/>
      <c r="N23" s="155"/>
      <c r="Q23" t="s">
        <v>30</v>
      </c>
    </row>
    <row r="24" spans="1:19" ht="19.5" thickBot="1" x14ac:dyDescent="0.4">
      <c r="A24" s="131"/>
      <c r="B24" s="134"/>
      <c r="C24" s="134"/>
      <c r="D24" s="135"/>
      <c r="E24" s="13"/>
      <c r="F24" s="141" t="s">
        <v>50</v>
      </c>
      <c r="G24" s="57">
        <v>3.8</v>
      </c>
      <c r="H24" s="67" t="s">
        <v>4</v>
      </c>
      <c r="I24" s="148" t="s">
        <v>57</v>
      </c>
      <c r="J24" s="156" t="str">
        <f>CONCATENATE(ROUND(G28*1000,3)," mA")</f>
        <v>6.19 mA</v>
      </c>
      <c r="K24" s="147" t="s">
        <v>56</v>
      </c>
      <c r="L24" s="157" t="str">
        <f>IF(G26/1000&gt;=1,CONCATENATE(TEXT(G26/1000,"##0.000")," kΩ"),CONCATENATE(TEXT(G26,"##0.0#")," Ω"))</f>
        <v>210.0 Ω</v>
      </c>
      <c r="M24" s="158" t="str">
        <f>CONCATENATE(TEXT(G30,"0.0##"), " V (",TEXT(G30*G28*1000,"#0.0##")," mW)")</f>
        <v>1.3 V (8.048 mW)</v>
      </c>
      <c r="N24" s="159"/>
      <c r="Q24" t="str">
        <f>IF(R22=0,"No Errors","")</f>
        <v>No Errors</v>
      </c>
      <c r="R24" t="str">
        <f>IF(R22=0,"","(Errors: "&amp;R22&amp;")")</f>
        <v/>
      </c>
    </row>
    <row r="25" spans="1:19" ht="18.75" x14ac:dyDescent="0.35">
      <c r="B25" s="128"/>
      <c r="C25" s="128"/>
      <c r="D25" s="128"/>
      <c r="E25" s="13"/>
      <c r="F25" s="137" t="s">
        <v>51</v>
      </c>
      <c r="G25" s="58">
        <v>2.5000000000000001E-3</v>
      </c>
      <c r="H25" s="65" t="s">
        <v>5</v>
      </c>
      <c r="I25" s="9"/>
      <c r="J25" s="152"/>
      <c r="K25" s="152"/>
      <c r="L25" s="152"/>
      <c r="M25" s="152"/>
      <c r="N25" s="155"/>
      <c r="Q25" s="36" t="str">
        <f>IF(J8&gt;K8,"Error: VINmin &gt; VINmax" &amp; CHAR(10),"")</f>
        <v/>
      </c>
    </row>
    <row r="26" spans="1:19" ht="19.5" thickBot="1" x14ac:dyDescent="0.4">
      <c r="A26" s="22"/>
      <c r="B26" s="13"/>
      <c r="C26" s="13"/>
      <c r="D26" s="13"/>
      <c r="E26" s="13"/>
      <c r="F26" s="136" t="s">
        <v>8</v>
      </c>
      <c r="G26" s="166">
        <v>210</v>
      </c>
      <c r="H26" s="65" t="s">
        <v>31</v>
      </c>
      <c r="I26" s="9"/>
      <c r="J26" s="152"/>
      <c r="K26" s="152" t="s">
        <v>41</v>
      </c>
      <c r="L26" s="146" t="s">
        <v>55</v>
      </c>
      <c r="M26" s="160" t="str">
        <f>CONCATENATE(G21," V")</f>
        <v>2.5 V</v>
      </c>
      <c r="N26" s="155"/>
      <c r="Q26" s="36" t="str">
        <f>IF(K9&lt;J9,"Error: I_Load Min &gt; I_Load Max" &amp; CHAR(10),"")</f>
        <v/>
      </c>
    </row>
    <row r="27" spans="1:19" ht="23.45" customHeight="1" thickBot="1" x14ac:dyDescent="0.3">
      <c r="A27" s="81" t="s">
        <v>34</v>
      </c>
      <c r="B27" s="82"/>
      <c r="C27" s="82"/>
      <c r="D27" s="83"/>
      <c r="E27" s="13"/>
      <c r="F27" s="68" t="s">
        <v>10</v>
      </c>
      <c r="G27" s="59"/>
      <c r="H27" s="69"/>
      <c r="I27" s="9"/>
      <c r="J27" s="152"/>
      <c r="K27" s="152"/>
      <c r="L27" s="152"/>
      <c r="M27" s="152"/>
      <c r="N27" s="155"/>
      <c r="Q27" s="36" t="str">
        <f>IF(K10&lt;J10,"Error: IQ Min&gt; IQ Max" &amp; CHAR(10),"")</f>
        <v/>
      </c>
    </row>
    <row r="28" spans="1:19" ht="18.75" x14ac:dyDescent="0.35">
      <c r="A28" s="51"/>
      <c r="B28" s="52"/>
      <c r="C28" s="52"/>
      <c r="D28" s="35"/>
      <c r="E28" s="13"/>
      <c r="F28" s="137" t="s">
        <v>43</v>
      </c>
      <c r="G28" s="163">
        <f>G30/G26</f>
        <v>6.1904761904761898E-3</v>
      </c>
      <c r="H28" s="61" t="s">
        <v>5</v>
      </c>
      <c r="I28" s="9"/>
      <c r="J28" s="152" t="s">
        <v>41</v>
      </c>
      <c r="K28" s="152"/>
      <c r="L28" s="148" t="s">
        <v>60</v>
      </c>
      <c r="M28" s="161" t="str">
        <f>CONCATENATE(ROUND(G25*1000,4)," mA")</f>
        <v>2.5 mA</v>
      </c>
      <c r="N28" s="155"/>
      <c r="Q28" s="36" t="str">
        <f>IF(Q13&gt;Q14,"Error: Rs_min &gt; Rs_max. Vin or Load bounds too wide, or VREF &gt;= VINmin" &amp; CHAR(10),"")</f>
        <v/>
      </c>
    </row>
    <row r="29" spans="1:19" ht="19.5" x14ac:dyDescent="0.35">
      <c r="A29" s="22"/>
      <c r="B29" s="16"/>
      <c r="C29" s="17"/>
      <c r="D29" s="19"/>
      <c r="E29" s="13"/>
      <c r="F29" s="138" t="s">
        <v>44</v>
      </c>
      <c r="G29" s="164">
        <f>IF(G28-G25&gt;0,G28-G25,0)</f>
        <v>3.6904761904761898E-3</v>
      </c>
      <c r="H29" s="61" t="s">
        <v>5</v>
      </c>
      <c r="I29" s="147" t="s">
        <v>58</v>
      </c>
      <c r="J29" s="149" t="str">
        <f>CONCATENATE(ROUND(G29*1000,3)," mA")</f>
        <v>3.69 mA</v>
      </c>
      <c r="K29" s="152"/>
      <c r="L29" s="152"/>
      <c r="M29" s="152"/>
      <c r="N29" s="155"/>
      <c r="Q29" s="38" t="str">
        <f>IF(J6&gt;=J8,"Error: VREF &gt;= VINmin" &amp; CHAR(10),"")</f>
        <v/>
      </c>
    </row>
    <row r="30" spans="1:19" ht="19.5" thickBot="1" x14ac:dyDescent="0.4">
      <c r="A30" s="24"/>
      <c r="B30" s="25"/>
      <c r="C30" s="25"/>
      <c r="D30" s="40"/>
      <c r="E30" s="13"/>
      <c r="F30" s="137" t="s">
        <v>45</v>
      </c>
      <c r="G30" s="54">
        <f>IF(G24-G21&gt;0,G24-G21,0)</f>
        <v>1.2999999999999998</v>
      </c>
      <c r="H30" s="61" t="s">
        <v>4</v>
      </c>
      <c r="I30" s="9"/>
      <c r="J30" s="162"/>
      <c r="K30" s="152"/>
      <c r="L30" s="152"/>
      <c r="M30" s="152"/>
      <c r="N30" s="155"/>
      <c r="Q30" s="38"/>
    </row>
    <row r="31" spans="1:19" ht="19.5" thickBot="1" x14ac:dyDescent="0.4">
      <c r="E31" s="13"/>
      <c r="F31" s="139" t="s">
        <v>46</v>
      </c>
      <c r="G31" s="77">
        <f>G28*G30</f>
        <v>8.0476190476190465E-3</v>
      </c>
      <c r="H31" s="76" t="s">
        <v>40</v>
      </c>
      <c r="I31" s="9"/>
      <c r="J31" s="11"/>
      <c r="K31" s="9"/>
      <c r="L31" s="9"/>
      <c r="M31" s="9"/>
      <c r="N31" s="23"/>
      <c r="Q31" t="s">
        <v>29</v>
      </c>
      <c r="R31" t="s">
        <v>20</v>
      </c>
      <c r="S31">
        <f>COUNTA(Q33:Q35)-COUNTIF(Q33:Q35,"")</f>
        <v>0</v>
      </c>
    </row>
    <row r="32" spans="1:19" ht="19.5" thickBot="1" x14ac:dyDescent="0.3">
      <c r="A32" s="81" t="s">
        <v>28</v>
      </c>
      <c r="B32" s="82"/>
      <c r="C32" s="82"/>
      <c r="D32" s="83"/>
      <c r="E32" s="13"/>
      <c r="F32" s="111" t="str">
        <f>CONCATENATE(Q32,Q33,Q34,Q35,Q36)</f>
        <v>No Errors</v>
      </c>
      <c r="G32" s="112"/>
      <c r="H32" s="113"/>
      <c r="I32" s="71"/>
      <c r="J32" s="9"/>
      <c r="K32" s="9"/>
      <c r="L32" s="9"/>
      <c r="M32" s="9"/>
      <c r="N32" s="23"/>
      <c r="Q32" t="str">
        <f>IF(AND(S31=0,Q36=""),"No Errors","")</f>
        <v>No Errors</v>
      </c>
      <c r="R32" t="str">
        <f>IF(S31=0,"","(Errors: "&amp;S31&amp;")")</f>
        <v/>
      </c>
    </row>
    <row r="33" spans="1:17" x14ac:dyDescent="0.25">
      <c r="A33" s="39" t="s">
        <v>42</v>
      </c>
      <c r="B33" s="34"/>
      <c r="C33" s="34"/>
      <c r="D33" s="35"/>
      <c r="E33" s="13"/>
      <c r="F33" s="111"/>
      <c r="G33" s="112"/>
      <c r="H33" s="113"/>
      <c r="I33" s="71"/>
      <c r="J33" s="9"/>
      <c r="K33" s="9"/>
      <c r="L33" s="9"/>
      <c r="M33" s="9"/>
      <c r="N33" s="23"/>
      <c r="Q33" s="38" t="str">
        <f>IF(G21&gt;=G24,"Error: VREF &gt;= VINmin" &amp; CHAR(10),"")</f>
        <v/>
      </c>
    </row>
    <row r="34" spans="1:17" ht="15" customHeight="1" x14ac:dyDescent="0.25">
      <c r="A34" s="39" t="s">
        <v>32</v>
      </c>
      <c r="B34" s="13"/>
      <c r="C34" s="13"/>
      <c r="D34" s="19"/>
      <c r="E34" s="13"/>
      <c r="F34" s="111"/>
      <c r="G34" s="112"/>
      <c r="H34" s="113"/>
      <c r="I34" s="71"/>
      <c r="J34" s="9"/>
      <c r="K34" s="9"/>
      <c r="L34" s="9"/>
      <c r="M34" s="9"/>
      <c r="N34" s="23"/>
      <c r="Q34" s="38" t="str">
        <f>IFERROR(IF(G29&lt;J10,"Error: I_Q &lt; I_Qmin.  Try reducing load current or reducing R"&amp;CHAR(10),""),"Error: Calculation Error. Inputs must be strictly numbers, and cannot have units (e.g R: 3.3k is invalid, please use 3300)")</f>
        <v/>
      </c>
    </row>
    <row r="35" spans="1:17" ht="15.75" thickBot="1" x14ac:dyDescent="0.3">
      <c r="A35" s="41" t="s">
        <v>33</v>
      </c>
      <c r="B35" s="26"/>
      <c r="C35" s="26"/>
      <c r="D35" s="40"/>
      <c r="E35" s="26"/>
      <c r="F35" s="114"/>
      <c r="G35" s="115"/>
      <c r="H35" s="116"/>
      <c r="I35" s="72"/>
      <c r="J35" s="27"/>
      <c r="K35" s="27"/>
      <c r="L35" s="27"/>
      <c r="M35" s="27"/>
      <c r="N35" s="28"/>
      <c r="Q35" s="38" t="str">
        <f>IFERROR(IF(G29&gt;K10,"Error: IQ &gt; IQmax." &amp;CHAR(10) &amp;"Try increasing R." &amp; CHAR(10),""),"")</f>
        <v/>
      </c>
    </row>
    <row r="36" spans="1:17" x14ac:dyDescent="0.25">
      <c r="A36" s="15"/>
      <c r="B36" s="18"/>
      <c r="C36" s="18"/>
      <c r="F36" s="13"/>
      <c r="G36" s="13"/>
      <c r="H36" s="13"/>
      <c r="Q36" s="167" t="str">
        <f>IF(G29=K10,"Warning: IQ calculated equal to IQmax. Consider using a larger resistor to decrease IQ","")</f>
        <v/>
      </c>
    </row>
    <row r="40" spans="1:17" ht="19.5" customHeight="1" x14ac:dyDescent="0.25"/>
    <row r="42" spans="1:17" ht="15.75" customHeight="1" x14ac:dyDescent="0.25"/>
    <row r="43" spans="1:17" ht="16.5" customHeight="1" x14ac:dyDescent="0.25"/>
  </sheetData>
  <sheetProtection password="DADE" sheet="1" objects="1" scenarios="1"/>
  <scenarios current="0" show="0">
    <scenario name="Test1" count="2" user="Dean, Christopher" comment="Created by Dean, Christopher on 2/19/2015_x000a_Modified by Dean, Christopher on 2/19/2015">
      <inputCells r="J8" val="12"/>
      <inputCells r="K8" val="48"/>
    </scenario>
  </scenarios>
  <mergeCells count="36">
    <mergeCell ref="F32:H35"/>
    <mergeCell ref="Q15:Q16"/>
    <mergeCell ref="A16:D17"/>
    <mergeCell ref="A14:D15"/>
    <mergeCell ref="A1:J2"/>
    <mergeCell ref="B25:D25"/>
    <mergeCell ref="M14:N14"/>
    <mergeCell ref="H14:I14"/>
    <mergeCell ref="A32:D32"/>
    <mergeCell ref="G8:I8"/>
    <mergeCell ref="G9:I9"/>
    <mergeCell ref="G10:I10"/>
    <mergeCell ref="F15:N17"/>
    <mergeCell ref="A23:A24"/>
    <mergeCell ref="B23:D24"/>
    <mergeCell ref="H13:I13"/>
    <mergeCell ref="A27:D27"/>
    <mergeCell ref="G6:I6"/>
    <mergeCell ref="G5:I5"/>
    <mergeCell ref="M12:N12"/>
    <mergeCell ref="M13:N13"/>
    <mergeCell ref="A21:A22"/>
    <mergeCell ref="B21:D22"/>
    <mergeCell ref="B20:D20"/>
    <mergeCell ref="M24:N24"/>
    <mergeCell ref="A4:D4"/>
    <mergeCell ref="F4:N4"/>
    <mergeCell ref="A19:D19"/>
    <mergeCell ref="K12:L12"/>
    <mergeCell ref="K13:L13"/>
    <mergeCell ref="K14:L14"/>
    <mergeCell ref="H11:I11"/>
    <mergeCell ref="H12:I12"/>
    <mergeCell ref="G19:M19"/>
    <mergeCell ref="A12:D13"/>
    <mergeCell ref="A5:D11"/>
  </mergeCells>
  <conditionalFormatting sqref="J9:K9">
    <cfRule type="expression" dxfId="19" priority="23">
      <formula>IF(K9&lt;J9,TRUE,FALSE)</formula>
    </cfRule>
  </conditionalFormatting>
  <conditionalFormatting sqref="J10">
    <cfRule type="expression" dxfId="18" priority="22">
      <formula>IF(K10&lt;J10,TRUE,FALSE)</formula>
    </cfRule>
  </conditionalFormatting>
  <conditionalFormatting sqref="J8">
    <cfRule type="expression" dxfId="17" priority="21">
      <formula>IF(K8&lt;J8,TRUE,FALSE)</formula>
    </cfRule>
  </conditionalFormatting>
  <conditionalFormatting sqref="F15:G15">
    <cfRule type="expression" dxfId="16" priority="14">
      <formula>IF($R$22&gt;0,TRUE,FALSE)</formula>
    </cfRule>
  </conditionalFormatting>
  <conditionalFormatting sqref="G30">
    <cfRule type="cellIs" dxfId="15" priority="11" operator="lessThanOrEqual">
      <formula>0</formula>
    </cfRule>
    <cfRule type="cellIs" dxfId="14" priority="12" operator="greaterThan">
      <formula>0</formula>
    </cfRule>
  </conditionalFormatting>
  <conditionalFormatting sqref="J6">
    <cfRule type="cellIs" dxfId="13" priority="50" operator="greaterThanOrEqual">
      <formula>$J$8</formula>
    </cfRule>
  </conditionalFormatting>
  <conditionalFormatting sqref="G29">
    <cfRule type="expression" dxfId="1" priority="52">
      <formula>OR($G$29&lt;$J$10,$G$29&gt;$K$10)</formula>
    </cfRule>
    <cfRule type="expression" dxfId="2" priority="53">
      <formula>AND($G$29&gt;0,$G$29&lt;$K$10)</formula>
    </cfRule>
    <cfRule type="cellIs" dxfId="0" priority="1" operator="equal">
      <formula>$K$10</formula>
    </cfRule>
  </conditionalFormatting>
  <conditionalFormatting sqref="F32">
    <cfRule type="expression" dxfId="12" priority="8">
      <formula>IF($S$31&lt;&gt;0,TRUE,FALSE)</formula>
    </cfRule>
  </conditionalFormatting>
  <conditionalFormatting sqref="G28 J24">
    <cfRule type="expression" dxfId="11" priority="58">
      <formula>AND($G$28&gt;0,$G$28&lt;$K$10+$G$25)</formula>
    </cfRule>
    <cfRule type="expression" dxfId="10" priority="59">
      <formula>OR($G$28&lt;=0,$G$28&gt;$K$10+$G$25)</formula>
    </cfRule>
  </conditionalFormatting>
  <conditionalFormatting sqref="K13:K14">
    <cfRule type="expression" dxfId="9" priority="72">
      <formula>$R$14&gt;=$R$13</formula>
    </cfRule>
    <cfRule type="expression" dxfId="8" priority="73">
      <formula>$R$13&gt;$R$14</formula>
    </cfRule>
  </conditionalFormatting>
  <conditionalFormatting sqref="M13:N14">
    <cfRule type="expression" dxfId="7" priority="4">
      <formula>$S$13&gt;$S$14</formula>
    </cfRule>
    <cfRule type="expression" dxfId="6" priority="5">
      <formula>$S$14&gt;=$S$13</formula>
    </cfRule>
  </conditionalFormatting>
  <conditionalFormatting sqref="J29">
    <cfRule type="expression" dxfId="5" priority="76">
      <formula>OR(G29&gt;$K$10,G29&lt;$J$10)</formula>
    </cfRule>
  </conditionalFormatting>
  <conditionalFormatting sqref="M24">
    <cfRule type="expression" dxfId="4" priority="77">
      <formula>$G$29&gt;0</formula>
    </cfRule>
  </conditionalFormatting>
  <conditionalFormatting sqref="K8">
    <cfRule type="expression" dxfId="3" priority="2">
      <formula>IF($K$8&lt;$J$8,TRUE,FALSE)</formula>
    </cfRule>
  </conditionalFormatting>
  <dataValidations count="2">
    <dataValidation type="decimal" allowBlank="1" showInputMessage="1" showErrorMessage="1" errorTitle="Error: Invalid Input" error="Invalid input value. Please enter only numeric values to the input cells._x000a__x000a_For example: 1500 instead of 1.5k, or 15e-3 instead of 15m_x000a__x000a_Click Retry to enter a new value." sqref="J8:K10">
      <formula1>-999999</formula1>
      <formula2>9999999</formula2>
    </dataValidation>
    <dataValidation type="decimal" allowBlank="1" showInputMessage="1" showErrorMessage="1" errorTitle="Error: Invalid Input" error="Invalid input value. Please enter only numeric values to the input cells._x000a__x000a_For example: 1500 instead of 1.5k, or 15e-3 instead of 15m_x000a__x000a_Click Retry to enter a new value." sqref="G24:G26">
      <formula1>0</formula1>
      <formula2>1000000</formula2>
    </dataValidation>
  </dataValidations>
  <hyperlinks>
    <hyperlink ref="A33" r:id="rId1" display="TI Voltage References"/>
    <hyperlink ref="A34" r:id="rId2" location="instructions"/>
    <hyperlink ref="A35" r:id="rId3"/>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V680"/>
  <sheetViews>
    <sheetView workbookViewId="0">
      <selection activeCell="B11" sqref="B11:B17"/>
    </sheetView>
  </sheetViews>
  <sheetFormatPr defaultRowHeight="15" x14ac:dyDescent="0.25"/>
  <cols>
    <col min="1" max="2" width="13.28515625" bestFit="1" customWidth="1"/>
    <col min="4" max="5" width="14.42578125" bestFit="1" customWidth="1"/>
    <col min="6" max="8" width="14.42578125" customWidth="1"/>
    <col min="9" max="9" width="8.7109375" customWidth="1"/>
  </cols>
  <sheetData>
    <row r="1" spans="1:100" x14ac:dyDescent="0.25">
      <c r="A1" s="6" t="s">
        <v>14</v>
      </c>
      <c r="B1" s="7" t="s">
        <v>15</v>
      </c>
      <c r="C1" s="1"/>
      <c r="D1" t="s">
        <v>13</v>
      </c>
      <c r="E1" t="s">
        <v>16</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x14ac:dyDescent="0.25">
      <c r="A2">
        <v>1</v>
      </c>
      <c r="B2" s="1">
        <v>1</v>
      </c>
      <c r="D2" s="8">
        <v>9760000</v>
      </c>
      <c r="E2" s="1">
        <v>9100000</v>
      </c>
      <c r="F2" s="1"/>
      <c r="G2" s="1"/>
      <c r="H2" s="1"/>
      <c r="J2">
        <f>K2/10</f>
        <v>1</v>
      </c>
      <c r="K2">
        <v>10</v>
      </c>
      <c r="L2">
        <f>K2*10</f>
        <v>100</v>
      </c>
      <c r="M2">
        <f>L2*10</f>
        <v>1000</v>
      </c>
      <c r="N2">
        <f>M2*10</f>
        <v>10000</v>
      </c>
      <c r="O2" s="8">
        <f>N2*10</f>
        <v>100000</v>
      </c>
      <c r="P2" s="8">
        <f>O2*10</f>
        <v>1000000</v>
      </c>
    </row>
    <row r="3" spans="1:100" x14ac:dyDescent="0.25">
      <c r="A3">
        <v>1.02</v>
      </c>
      <c r="B3" s="1">
        <v>1.1000000000000001</v>
      </c>
      <c r="D3" s="8">
        <v>9530000</v>
      </c>
      <c r="E3" s="1">
        <v>8200000</v>
      </c>
      <c r="F3" s="1"/>
      <c r="G3" s="1"/>
      <c r="H3" s="1"/>
      <c r="J3">
        <f t="shared" ref="J3:J66" si="0">K3/10</f>
        <v>1.02</v>
      </c>
      <c r="K3">
        <v>10.199999999999999</v>
      </c>
      <c r="L3">
        <f t="shared" ref="L3:P3" si="1">K3*10</f>
        <v>102</v>
      </c>
      <c r="M3">
        <f t="shared" si="1"/>
        <v>1020</v>
      </c>
      <c r="N3">
        <f t="shared" si="1"/>
        <v>10200</v>
      </c>
      <c r="O3" s="8">
        <f t="shared" si="1"/>
        <v>102000</v>
      </c>
      <c r="P3" s="8">
        <f t="shared" si="1"/>
        <v>1020000</v>
      </c>
    </row>
    <row r="4" spans="1:100" x14ac:dyDescent="0.25">
      <c r="A4">
        <v>1.05</v>
      </c>
      <c r="B4" s="1">
        <v>1.2</v>
      </c>
      <c r="D4" s="8">
        <v>9310000</v>
      </c>
      <c r="E4" s="1">
        <v>7500000</v>
      </c>
      <c r="F4" s="1"/>
      <c r="G4" s="1"/>
      <c r="H4" s="1"/>
      <c r="J4">
        <f t="shared" si="0"/>
        <v>1.05</v>
      </c>
      <c r="K4">
        <v>10.5</v>
      </c>
      <c r="L4">
        <f t="shared" ref="L4:P4" si="2">K4*10</f>
        <v>105</v>
      </c>
      <c r="M4">
        <f t="shared" si="2"/>
        <v>1050</v>
      </c>
      <c r="N4">
        <f t="shared" si="2"/>
        <v>10500</v>
      </c>
      <c r="O4" s="8">
        <f t="shared" si="2"/>
        <v>105000</v>
      </c>
      <c r="P4" s="8">
        <f t="shared" si="2"/>
        <v>1050000</v>
      </c>
    </row>
    <row r="5" spans="1:100" x14ac:dyDescent="0.25">
      <c r="A5">
        <v>1.0699999999999998</v>
      </c>
      <c r="B5" s="1">
        <v>1.3</v>
      </c>
      <c r="D5" s="8">
        <v>9090000</v>
      </c>
      <c r="E5" s="1">
        <v>6800000</v>
      </c>
      <c r="F5" s="1"/>
      <c r="G5" s="1"/>
      <c r="H5" s="1"/>
      <c r="J5">
        <f t="shared" si="0"/>
        <v>1.0699999999999998</v>
      </c>
      <c r="K5">
        <v>10.7</v>
      </c>
      <c r="L5">
        <f t="shared" ref="L5:P5" si="3">K5*10</f>
        <v>107</v>
      </c>
      <c r="M5">
        <f t="shared" si="3"/>
        <v>1070</v>
      </c>
      <c r="N5">
        <f t="shared" si="3"/>
        <v>10700</v>
      </c>
      <c r="O5" s="8">
        <f t="shared" si="3"/>
        <v>107000</v>
      </c>
      <c r="P5" s="8">
        <f t="shared" si="3"/>
        <v>1070000</v>
      </c>
    </row>
    <row r="6" spans="1:100" x14ac:dyDescent="0.25">
      <c r="A6">
        <v>1.1000000000000001</v>
      </c>
      <c r="B6" s="1">
        <v>1.5</v>
      </c>
      <c r="D6" s="8">
        <v>8870000</v>
      </c>
      <c r="E6" s="1">
        <v>6200000</v>
      </c>
      <c r="F6" s="1"/>
      <c r="G6" s="1"/>
      <c r="H6" s="1"/>
      <c r="J6">
        <f t="shared" si="0"/>
        <v>1.1000000000000001</v>
      </c>
      <c r="K6">
        <v>11</v>
      </c>
      <c r="L6">
        <f t="shared" ref="L6:P6" si="4">K6*10</f>
        <v>110</v>
      </c>
      <c r="M6">
        <f t="shared" si="4"/>
        <v>1100</v>
      </c>
      <c r="N6">
        <f t="shared" si="4"/>
        <v>11000</v>
      </c>
      <c r="O6" s="8">
        <f t="shared" si="4"/>
        <v>110000</v>
      </c>
      <c r="P6" s="8">
        <f t="shared" si="4"/>
        <v>1100000</v>
      </c>
    </row>
    <row r="7" spans="1:100" x14ac:dyDescent="0.25">
      <c r="A7">
        <v>1.1300000000000001</v>
      </c>
      <c r="B7" s="1">
        <v>1.6</v>
      </c>
      <c r="D7" s="8">
        <v>8660000</v>
      </c>
      <c r="E7" s="1">
        <v>5600000</v>
      </c>
      <c r="F7" s="1"/>
      <c r="G7" s="1"/>
      <c r="H7" s="1"/>
      <c r="J7">
        <f t="shared" si="0"/>
        <v>1.1300000000000001</v>
      </c>
      <c r="K7">
        <v>11.3</v>
      </c>
      <c r="L7">
        <f t="shared" ref="L7:P7" si="5">K7*10</f>
        <v>113</v>
      </c>
      <c r="M7">
        <f t="shared" si="5"/>
        <v>1130</v>
      </c>
      <c r="N7">
        <f t="shared" si="5"/>
        <v>11300</v>
      </c>
      <c r="O7" s="8">
        <f t="shared" si="5"/>
        <v>113000</v>
      </c>
      <c r="P7" s="8">
        <f t="shared" si="5"/>
        <v>1130000</v>
      </c>
    </row>
    <row r="8" spans="1:100" x14ac:dyDescent="0.25">
      <c r="A8">
        <v>1.1499999999999999</v>
      </c>
      <c r="B8" s="1">
        <v>1.8</v>
      </c>
      <c r="D8" s="8">
        <v>8450000</v>
      </c>
      <c r="E8" s="1">
        <v>5100000</v>
      </c>
      <c r="F8" s="1"/>
      <c r="G8" s="1"/>
      <c r="H8" s="1"/>
      <c r="J8">
        <f t="shared" si="0"/>
        <v>1.1499999999999999</v>
      </c>
      <c r="K8">
        <v>11.5</v>
      </c>
      <c r="L8">
        <f t="shared" ref="L8:P8" si="6">K8*10</f>
        <v>115</v>
      </c>
      <c r="M8">
        <f t="shared" si="6"/>
        <v>1150</v>
      </c>
      <c r="N8">
        <f t="shared" si="6"/>
        <v>11500</v>
      </c>
      <c r="O8" s="8">
        <f t="shared" si="6"/>
        <v>115000</v>
      </c>
      <c r="P8" s="8">
        <f t="shared" si="6"/>
        <v>1150000</v>
      </c>
    </row>
    <row r="9" spans="1:100" x14ac:dyDescent="0.25">
      <c r="A9">
        <v>1.1800000000000002</v>
      </c>
      <c r="B9" s="1">
        <v>2</v>
      </c>
      <c r="D9" s="8">
        <v>8250000</v>
      </c>
      <c r="E9" s="1">
        <v>4700000</v>
      </c>
      <c r="F9" s="1"/>
      <c r="G9" s="1"/>
      <c r="H9" s="1"/>
      <c r="J9">
        <f t="shared" si="0"/>
        <v>1.1800000000000002</v>
      </c>
      <c r="K9">
        <v>11.8</v>
      </c>
      <c r="L9">
        <f t="shared" ref="L9:P9" si="7">K9*10</f>
        <v>118</v>
      </c>
      <c r="M9">
        <f t="shared" si="7"/>
        <v>1180</v>
      </c>
      <c r="N9">
        <f t="shared" si="7"/>
        <v>11800</v>
      </c>
      <c r="O9" s="8">
        <f t="shared" si="7"/>
        <v>118000</v>
      </c>
      <c r="P9" s="8">
        <f t="shared" si="7"/>
        <v>1180000</v>
      </c>
    </row>
    <row r="10" spans="1:100" x14ac:dyDescent="0.25">
      <c r="A10">
        <v>1.21</v>
      </c>
      <c r="B10" s="1">
        <v>2.2000000000000002</v>
      </c>
      <c r="D10" s="8">
        <v>8060000</v>
      </c>
      <c r="E10" s="1">
        <v>4300000</v>
      </c>
      <c r="F10" s="1"/>
      <c r="G10" s="1"/>
      <c r="H10" s="1"/>
      <c r="J10">
        <f t="shared" si="0"/>
        <v>1.21</v>
      </c>
      <c r="K10">
        <v>12.1</v>
      </c>
      <c r="L10">
        <f t="shared" ref="L10:P10" si="8">K10*10</f>
        <v>121</v>
      </c>
      <c r="M10">
        <f t="shared" si="8"/>
        <v>1210</v>
      </c>
      <c r="N10">
        <f t="shared" si="8"/>
        <v>12100</v>
      </c>
      <c r="O10" s="8">
        <f t="shared" si="8"/>
        <v>121000</v>
      </c>
      <c r="P10" s="8">
        <f t="shared" si="8"/>
        <v>1210000</v>
      </c>
    </row>
    <row r="11" spans="1:100" x14ac:dyDescent="0.25">
      <c r="A11">
        <v>1.24</v>
      </c>
      <c r="B11" s="1">
        <v>2.4</v>
      </c>
      <c r="D11" s="8">
        <v>7870000</v>
      </c>
      <c r="E11" s="1">
        <v>3900000</v>
      </c>
      <c r="F11" s="1"/>
      <c r="G11" s="1"/>
      <c r="H11" s="1"/>
      <c r="J11">
        <f t="shared" si="0"/>
        <v>1.24</v>
      </c>
      <c r="K11">
        <v>12.4</v>
      </c>
      <c r="L11">
        <f t="shared" ref="L11:P11" si="9">K11*10</f>
        <v>124</v>
      </c>
      <c r="M11">
        <f t="shared" si="9"/>
        <v>1240</v>
      </c>
      <c r="N11">
        <f t="shared" si="9"/>
        <v>12400</v>
      </c>
      <c r="O11" s="8">
        <f t="shared" si="9"/>
        <v>124000</v>
      </c>
      <c r="P11" s="8">
        <f t="shared" si="9"/>
        <v>1240000</v>
      </c>
    </row>
    <row r="12" spans="1:100" x14ac:dyDescent="0.25">
      <c r="A12">
        <v>1.27</v>
      </c>
      <c r="B12" s="1">
        <v>2.7</v>
      </c>
      <c r="D12" s="8">
        <v>7680000</v>
      </c>
      <c r="E12" s="1">
        <v>3600000</v>
      </c>
      <c r="F12" s="1"/>
      <c r="G12" s="1"/>
      <c r="H12" s="1"/>
      <c r="J12">
        <f t="shared" si="0"/>
        <v>1.27</v>
      </c>
      <c r="K12">
        <v>12.7</v>
      </c>
      <c r="L12">
        <f t="shared" ref="L12:P12" si="10">K12*10</f>
        <v>127</v>
      </c>
      <c r="M12">
        <f t="shared" si="10"/>
        <v>1270</v>
      </c>
      <c r="N12">
        <f t="shared" si="10"/>
        <v>12700</v>
      </c>
      <c r="O12" s="8">
        <f t="shared" si="10"/>
        <v>127000</v>
      </c>
      <c r="P12" s="8">
        <f t="shared" si="10"/>
        <v>1270000</v>
      </c>
    </row>
    <row r="13" spans="1:100" x14ac:dyDescent="0.25">
      <c r="A13">
        <v>1.3</v>
      </c>
      <c r="B13" s="1">
        <v>3</v>
      </c>
      <c r="D13" s="8">
        <v>7500000</v>
      </c>
      <c r="E13" s="1">
        <v>3300000</v>
      </c>
      <c r="F13" s="1"/>
      <c r="G13" s="1"/>
      <c r="H13" s="1"/>
      <c r="J13">
        <f t="shared" si="0"/>
        <v>1.3</v>
      </c>
      <c r="K13">
        <v>13</v>
      </c>
      <c r="L13">
        <f t="shared" ref="L13:P13" si="11">K13*10</f>
        <v>130</v>
      </c>
      <c r="M13">
        <f t="shared" si="11"/>
        <v>1300</v>
      </c>
      <c r="N13">
        <f t="shared" si="11"/>
        <v>13000</v>
      </c>
      <c r="O13" s="8">
        <f t="shared" si="11"/>
        <v>130000</v>
      </c>
      <c r="P13" s="8">
        <f t="shared" si="11"/>
        <v>1300000</v>
      </c>
    </row>
    <row r="14" spans="1:100" x14ac:dyDescent="0.25">
      <c r="A14">
        <v>1.33</v>
      </c>
      <c r="B14" s="1">
        <v>3.3</v>
      </c>
      <c r="D14" s="8">
        <v>7320000</v>
      </c>
      <c r="E14" s="1">
        <v>3000000</v>
      </c>
      <c r="F14" s="1"/>
      <c r="G14" s="1"/>
      <c r="H14" s="1"/>
      <c r="J14">
        <f t="shared" si="0"/>
        <v>1.33</v>
      </c>
      <c r="K14">
        <v>13.3</v>
      </c>
      <c r="L14">
        <f t="shared" ref="L14:P14" si="12">K14*10</f>
        <v>133</v>
      </c>
      <c r="M14">
        <f t="shared" si="12"/>
        <v>1330</v>
      </c>
      <c r="N14">
        <f t="shared" si="12"/>
        <v>13300</v>
      </c>
      <c r="O14" s="8">
        <f t="shared" si="12"/>
        <v>133000</v>
      </c>
      <c r="P14" s="8">
        <f t="shared" si="12"/>
        <v>1330000</v>
      </c>
    </row>
    <row r="15" spans="1:100" x14ac:dyDescent="0.25">
      <c r="A15">
        <v>1.3699999999999999</v>
      </c>
      <c r="B15" s="1">
        <v>3.6</v>
      </c>
      <c r="D15" s="8">
        <v>7150000</v>
      </c>
      <c r="E15" s="1">
        <v>2700000</v>
      </c>
      <c r="F15" s="1"/>
      <c r="G15" s="1"/>
      <c r="H15" s="1"/>
      <c r="J15">
        <f t="shared" si="0"/>
        <v>1.3699999999999999</v>
      </c>
      <c r="K15">
        <v>13.7</v>
      </c>
      <c r="L15">
        <f t="shared" ref="L15:P15" si="13">K15*10</f>
        <v>137</v>
      </c>
      <c r="M15">
        <f t="shared" si="13"/>
        <v>1370</v>
      </c>
      <c r="N15">
        <f t="shared" si="13"/>
        <v>13700</v>
      </c>
      <c r="O15" s="8">
        <f t="shared" si="13"/>
        <v>137000</v>
      </c>
      <c r="P15" s="8">
        <f t="shared" si="13"/>
        <v>1370000</v>
      </c>
    </row>
    <row r="16" spans="1:100" x14ac:dyDescent="0.25">
      <c r="A16">
        <v>1.4</v>
      </c>
      <c r="B16" s="1">
        <v>3.9</v>
      </c>
      <c r="D16" s="8">
        <v>6980000</v>
      </c>
      <c r="E16" s="1">
        <v>2400000</v>
      </c>
      <c r="F16" s="1"/>
      <c r="G16" s="1"/>
      <c r="H16" s="1"/>
      <c r="J16">
        <f t="shared" si="0"/>
        <v>1.4</v>
      </c>
      <c r="K16">
        <v>14</v>
      </c>
      <c r="L16">
        <f t="shared" ref="L16:P16" si="14">K16*10</f>
        <v>140</v>
      </c>
      <c r="M16">
        <f t="shared" si="14"/>
        <v>1400</v>
      </c>
      <c r="N16">
        <f t="shared" si="14"/>
        <v>14000</v>
      </c>
      <c r="O16" s="8">
        <f t="shared" si="14"/>
        <v>140000</v>
      </c>
      <c r="P16" s="8">
        <f t="shared" si="14"/>
        <v>1400000</v>
      </c>
    </row>
    <row r="17" spans="1:16" x14ac:dyDescent="0.25">
      <c r="A17">
        <v>1.4300000000000002</v>
      </c>
      <c r="B17" s="1">
        <v>4.3</v>
      </c>
      <c r="D17" s="8">
        <v>6810000</v>
      </c>
      <c r="E17" s="1">
        <v>2200000</v>
      </c>
      <c r="F17" s="1"/>
      <c r="G17" s="1"/>
      <c r="H17" s="1"/>
      <c r="J17">
        <f t="shared" si="0"/>
        <v>1.4300000000000002</v>
      </c>
      <c r="K17">
        <v>14.3</v>
      </c>
      <c r="L17">
        <f t="shared" ref="L17:P17" si="15">K17*10</f>
        <v>143</v>
      </c>
      <c r="M17">
        <f t="shared" si="15"/>
        <v>1430</v>
      </c>
      <c r="N17">
        <f t="shared" si="15"/>
        <v>14300</v>
      </c>
      <c r="O17" s="8">
        <f t="shared" si="15"/>
        <v>143000</v>
      </c>
      <c r="P17" s="8">
        <f t="shared" si="15"/>
        <v>1430000</v>
      </c>
    </row>
    <row r="18" spans="1:16" ht="14.45" x14ac:dyDescent="0.3">
      <c r="A18">
        <v>1.47</v>
      </c>
      <c r="B18" s="1">
        <v>4.7</v>
      </c>
      <c r="D18" s="8">
        <v>6650000</v>
      </c>
      <c r="E18" s="1">
        <v>2000000</v>
      </c>
      <c r="F18" s="1"/>
      <c r="G18" s="1"/>
      <c r="H18" s="1"/>
      <c r="J18">
        <f t="shared" si="0"/>
        <v>1.47</v>
      </c>
      <c r="K18">
        <v>14.7</v>
      </c>
      <c r="L18">
        <f t="shared" ref="L18:P18" si="16">K18*10</f>
        <v>147</v>
      </c>
      <c r="M18">
        <f t="shared" si="16"/>
        <v>1470</v>
      </c>
      <c r="N18">
        <f t="shared" si="16"/>
        <v>14700</v>
      </c>
      <c r="O18" s="8">
        <f t="shared" si="16"/>
        <v>147000</v>
      </c>
      <c r="P18" s="8">
        <f t="shared" si="16"/>
        <v>1470000</v>
      </c>
    </row>
    <row r="19" spans="1:16" ht="14.45" x14ac:dyDescent="0.3">
      <c r="A19">
        <v>1.5</v>
      </c>
      <c r="B19" s="1">
        <v>5.0999999999999996</v>
      </c>
      <c r="D19" s="8">
        <v>6490000</v>
      </c>
      <c r="E19" s="1">
        <v>1800000</v>
      </c>
      <c r="F19" s="1"/>
      <c r="G19" s="1"/>
      <c r="H19" s="1"/>
      <c r="J19">
        <f t="shared" si="0"/>
        <v>1.5</v>
      </c>
      <c r="K19">
        <v>15</v>
      </c>
      <c r="L19">
        <f t="shared" ref="L19:P19" si="17">K19*10</f>
        <v>150</v>
      </c>
      <c r="M19">
        <f t="shared" si="17"/>
        <v>1500</v>
      </c>
      <c r="N19">
        <f t="shared" si="17"/>
        <v>15000</v>
      </c>
      <c r="O19" s="8">
        <f t="shared" si="17"/>
        <v>150000</v>
      </c>
      <c r="P19" s="8">
        <f t="shared" si="17"/>
        <v>1500000</v>
      </c>
    </row>
    <row r="20" spans="1:16" ht="14.45" x14ac:dyDescent="0.3">
      <c r="A20">
        <v>1.54</v>
      </c>
      <c r="B20" s="1">
        <v>5.6</v>
      </c>
      <c r="D20" s="8">
        <v>6340000</v>
      </c>
      <c r="E20" s="1">
        <v>1600000</v>
      </c>
      <c r="F20" s="1"/>
      <c r="G20" s="1"/>
      <c r="H20" s="1"/>
      <c r="J20">
        <f t="shared" si="0"/>
        <v>1.54</v>
      </c>
      <c r="K20">
        <v>15.4</v>
      </c>
      <c r="L20">
        <f t="shared" ref="L20:P20" si="18">K20*10</f>
        <v>154</v>
      </c>
      <c r="M20">
        <f t="shared" si="18"/>
        <v>1540</v>
      </c>
      <c r="N20">
        <f t="shared" si="18"/>
        <v>15400</v>
      </c>
      <c r="O20" s="8">
        <f t="shared" si="18"/>
        <v>154000</v>
      </c>
      <c r="P20" s="8">
        <f t="shared" si="18"/>
        <v>1540000</v>
      </c>
    </row>
    <row r="21" spans="1:16" ht="14.45" x14ac:dyDescent="0.3">
      <c r="A21">
        <v>1.58</v>
      </c>
      <c r="B21" s="1">
        <v>6.2</v>
      </c>
      <c r="D21" s="8">
        <v>6190000</v>
      </c>
      <c r="E21" s="1">
        <v>1500000</v>
      </c>
      <c r="F21" s="1"/>
      <c r="G21" s="1"/>
      <c r="H21" s="1"/>
      <c r="J21">
        <f t="shared" si="0"/>
        <v>1.58</v>
      </c>
      <c r="K21">
        <v>15.8</v>
      </c>
      <c r="L21">
        <f t="shared" ref="L21:P21" si="19">K21*10</f>
        <v>158</v>
      </c>
      <c r="M21">
        <f t="shared" si="19"/>
        <v>1580</v>
      </c>
      <c r="N21">
        <f t="shared" si="19"/>
        <v>15800</v>
      </c>
      <c r="O21" s="8">
        <f t="shared" si="19"/>
        <v>158000</v>
      </c>
      <c r="P21" s="8">
        <f t="shared" si="19"/>
        <v>1580000</v>
      </c>
    </row>
    <row r="22" spans="1:16" ht="14.45" x14ac:dyDescent="0.3">
      <c r="A22">
        <v>1.6199999999999999</v>
      </c>
      <c r="B22" s="1">
        <v>6.8</v>
      </c>
      <c r="D22" s="8">
        <v>6040000</v>
      </c>
      <c r="E22" s="1">
        <v>1300000</v>
      </c>
      <c r="F22" s="1"/>
      <c r="G22" s="1"/>
      <c r="H22" s="1"/>
      <c r="J22">
        <f t="shared" si="0"/>
        <v>1.6199999999999999</v>
      </c>
      <c r="K22">
        <v>16.2</v>
      </c>
      <c r="L22">
        <f t="shared" ref="L22:P22" si="20">K22*10</f>
        <v>162</v>
      </c>
      <c r="M22">
        <f t="shared" si="20"/>
        <v>1620</v>
      </c>
      <c r="N22">
        <f t="shared" si="20"/>
        <v>16200</v>
      </c>
      <c r="O22" s="8">
        <f t="shared" si="20"/>
        <v>162000</v>
      </c>
      <c r="P22" s="8">
        <f t="shared" si="20"/>
        <v>1620000</v>
      </c>
    </row>
    <row r="23" spans="1:16" x14ac:dyDescent="0.25">
      <c r="A23">
        <v>1.65</v>
      </c>
      <c r="B23" s="1">
        <v>7.5</v>
      </c>
      <c r="D23" s="8">
        <v>5900000</v>
      </c>
      <c r="E23" s="1">
        <v>1200000</v>
      </c>
      <c r="F23" s="1"/>
      <c r="G23" s="1"/>
      <c r="H23" s="1"/>
      <c r="J23">
        <f t="shared" si="0"/>
        <v>1.65</v>
      </c>
      <c r="K23">
        <v>16.5</v>
      </c>
      <c r="L23">
        <f t="shared" ref="L23:P23" si="21">K23*10</f>
        <v>165</v>
      </c>
      <c r="M23">
        <f t="shared" si="21"/>
        <v>1650</v>
      </c>
      <c r="N23">
        <f t="shared" si="21"/>
        <v>16500</v>
      </c>
      <c r="O23" s="8">
        <f t="shared" si="21"/>
        <v>165000</v>
      </c>
      <c r="P23" s="8">
        <f t="shared" si="21"/>
        <v>1650000</v>
      </c>
    </row>
    <row r="24" spans="1:16" x14ac:dyDescent="0.25">
      <c r="A24">
        <v>1.69</v>
      </c>
      <c r="B24" s="1">
        <v>8.1999999999999993</v>
      </c>
      <c r="D24" s="8">
        <v>5760000</v>
      </c>
      <c r="E24" s="1">
        <v>1100000</v>
      </c>
      <c r="F24" s="1"/>
      <c r="G24" s="1"/>
      <c r="H24" s="1"/>
      <c r="J24">
        <f t="shared" si="0"/>
        <v>1.69</v>
      </c>
      <c r="K24">
        <v>16.899999999999999</v>
      </c>
      <c r="L24">
        <f t="shared" ref="L24:P24" si="22">K24*10</f>
        <v>169</v>
      </c>
      <c r="M24">
        <f t="shared" si="22"/>
        <v>1690</v>
      </c>
      <c r="N24">
        <f t="shared" si="22"/>
        <v>16900</v>
      </c>
      <c r="O24" s="8">
        <f t="shared" si="22"/>
        <v>169000</v>
      </c>
      <c r="P24" s="8">
        <f t="shared" si="22"/>
        <v>1690000</v>
      </c>
    </row>
    <row r="25" spans="1:16" x14ac:dyDescent="0.25">
      <c r="A25">
        <v>1.7399999999999998</v>
      </c>
      <c r="B25" s="1">
        <v>9.1</v>
      </c>
      <c r="D25" s="8">
        <v>5620000</v>
      </c>
      <c r="E25" s="1">
        <v>1000000</v>
      </c>
      <c r="F25" s="1"/>
      <c r="G25" s="1"/>
      <c r="H25" s="1"/>
      <c r="J25">
        <f t="shared" si="0"/>
        <v>1.7399999999999998</v>
      </c>
      <c r="K25">
        <v>17.399999999999999</v>
      </c>
      <c r="L25">
        <f t="shared" ref="L25:P25" si="23">K25*10</f>
        <v>174</v>
      </c>
      <c r="M25">
        <f t="shared" si="23"/>
        <v>1740</v>
      </c>
      <c r="N25">
        <f t="shared" si="23"/>
        <v>17400</v>
      </c>
      <c r="O25" s="8">
        <f t="shared" si="23"/>
        <v>174000</v>
      </c>
      <c r="P25" s="8">
        <f t="shared" si="23"/>
        <v>1740000</v>
      </c>
    </row>
    <row r="26" spans="1:16" x14ac:dyDescent="0.25">
      <c r="A26">
        <v>1.8199999999999998</v>
      </c>
      <c r="B26" s="1">
        <v>10</v>
      </c>
      <c r="D26" s="8">
        <v>5490000</v>
      </c>
      <c r="E26" s="1">
        <v>910000</v>
      </c>
      <c r="F26" s="1"/>
      <c r="G26" s="1"/>
      <c r="H26" s="1"/>
      <c r="J26">
        <f t="shared" si="0"/>
        <v>1.8199999999999998</v>
      </c>
      <c r="K26">
        <v>18.2</v>
      </c>
      <c r="L26">
        <f t="shared" ref="L26:P26" si="24">K26*10</f>
        <v>182</v>
      </c>
      <c r="M26">
        <f t="shared" si="24"/>
        <v>1820</v>
      </c>
      <c r="N26">
        <f t="shared" si="24"/>
        <v>18200</v>
      </c>
      <c r="O26" s="8">
        <f t="shared" si="24"/>
        <v>182000</v>
      </c>
      <c r="P26" s="8">
        <f t="shared" si="24"/>
        <v>1820000</v>
      </c>
    </row>
    <row r="27" spans="1:16" x14ac:dyDescent="0.25">
      <c r="A27">
        <v>1.9600000000000002</v>
      </c>
      <c r="B27" s="1">
        <v>11</v>
      </c>
      <c r="D27" s="8">
        <v>5360000</v>
      </c>
      <c r="E27" s="1">
        <v>820000</v>
      </c>
      <c r="F27" s="1"/>
      <c r="G27" s="1"/>
      <c r="H27" s="1"/>
      <c r="J27">
        <f t="shared" si="0"/>
        <v>1.9600000000000002</v>
      </c>
      <c r="K27">
        <v>19.600000000000001</v>
      </c>
      <c r="L27">
        <f t="shared" ref="L27:P27" si="25">K27*10</f>
        <v>196</v>
      </c>
      <c r="M27">
        <f t="shared" si="25"/>
        <v>1960</v>
      </c>
      <c r="N27">
        <f t="shared" si="25"/>
        <v>19600</v>
      </c>
      <c r="O27" s="8">
        <f t="shared" si="25"/>
        <v>196000</v>
      </c>
      <c r="P27" s="8">
        <f t="shared" si="25"/>
        <v>1960000</v>
      </c>
    </row>
    <row r="28" spans="1:16" x14ac:dyDescent="0.25">
      <c r="A28">
        <v>2</v>
      </c>
      <c r="B28" s="1">
        <v>12</v>
      </c>
      <c r="D28" s="8">
        <v>5230000</v>
      </c>
      <c r="E28" s="1">
        <v>750000</v>
      </c>
      <c r="F28" s="1"/>
      <c r="G28" s="1"/>
      <c r="H28" s="1"/>
      <c r="J28">
        <f t="shared" si="0"/>
        <v>2</v>
      </c>
      <c r="K28">
        <v>20</v>
      </c>
      <c r="L28">
        <f t="shared" ref="L28:P28" si="26">K28*10</f>
        <v>200</v>
      </c>
      <c r="M28">
        <f t="shared" si="26"/>
        <v>2000</v>
      </c>
      <c r="N28">
        <f t="shared" si="26"/>
        <v>20000</v>
      </c>
      <c r="O28" s="8">
        <f t="shared" si="26"/>
        <v>200000</v>
      </c>
      <c r="P28" s="8">
        <f t="shared" si="26"/>
        <v>2000000</v>
      </c>
    </row>
    <row r="29" spans="1:16" x14ac:dyDescent="0.25">
      <c r="A29">
        <v>2.0499999999999998</v>
      </c>
      <c r="B29" s="1">
        <v>13</v>
      </c>
      <c r="D29" s="8">
        <v>5110000</v>
      </c>
      <c r="E29" s="1">
        <v>680000</v>
      </c>
      <c r="F29" s="1"/>
      <c r="G29" s="1"/>
      <c r="H29" s="1"/>
      <c r="J29">
        <f t="shared" si="0"/>
        <v>2.0499999999999998</v>
      </c>
      <c r="K29">
        <v>20.5</v>
      </c>
      <c r="L29">
        <f t="shared" ref="L29:P29" si="27">K29*10</f>
        <v>205</v>
      </c>
      <c r="M29">
        <f t="shared" si="27"/>
        <v>2050</v>
      </c>
      <c r="N29">
        <f t="shared" si="27"/>
        <v>20500</v>
      </c>
      <c r="O29" s="8">
        <f t="shared" si="27"/>
        <v>205000</v>
      </c>
      <c r="P29" s="8">
        <f t="shared" si="27"/>
        <v>2050000</v>
      </c>
    </row>
    <row r="30" spans="1:16" x14ac:dyDescent="0.25">
      <c r="A30">
        <v>2.1</v>
      </c>
      <c r="B30" s="1">
        <v>15</v>
      </c>
      <c r="D30" s="8">
        <v>4990000</v>
      </c>
      <c r="E30" s="1">
        <v>620000</v>
      </c>
      <c r="F30" s="1"/>
      <c r="G30" s="1"/>
      <c r="H30" s="1"/>
      <c r="J30">
        <f t="shared" si="0"/>
        <v>2.1</v>
      </c>
      <c r="K30">
        <v>21</v>
      </c>
      <c r="L30">
        <f t="shared" ref="L30:P30" si="28">K30*10</f>
        <v>210</v>
      </c>
      <c r="M30">
        <f t="shared" si="28"/>
        <v>2100</v>
      </c>
      <c r="N30">
        <f t="shared" si="28"/>
        <v>21000</v>
      </c>
      <c r="O30" s="8">
        <f t="shared" si="28"/>
        <v>210000</v>
      </c>
      <c r="P30" s="8">
        <f t="shared" si="28"/>
        <v>2100000</v>
      </c>
    </row>
    <row r="31" spans="1:16" x14ac:dyDescent="0.25">
      <c r="A31">
        <v>2.15</v>
      </c>
      <c r="B31" s="1">
        <v>16</v>
      </c>
      <c r="D31" s="8">
        <v>4870000</v>
      </c>
      <c r="E31" s="1">
        <v>560000</v>
      </c>
      <c r="F31" s="1"/>
      <c r="G31" s="1"/>
      <c r="H31" s="1"/>
      <c r="J31">
        <f t="shared" si="0"/>
        <v>2.15</v>
      </c>
      <c r="K31">
        <v>21.5</v>
      </c>
      <c r="L31">
        <f t="shared" ref="L31:P31" si="29">K31*10</f>
        <v>215</v>
      </c>
      <c r="M31">
        <f t="shared" si="29"/>
        <v>2150</v>
      </c>
      <c r="N31">
        <f t="shared" si="29"/>
        <v>21500</v>
      </c>
      <c r="O31" s="8">
        <f t="shared" si="29"/>
        <v>215000</v>
      </c>
      <c r="P31" s="8">
        <f t="shared" si="29"/>
        <v>2150000</v>
      </c>
    </row>
    <row r="32" spans="1:16" x14ac:dyDescent="0.25">
      <c r="A32">
        <v>2.21</v>
      </c>
      <c r="B32" s="1">
        <v>18</v>
      </c>
      <c r="D32" s="8">
        <v>4750000</v>
      </c>
      <c r="E32" s="1">
        <v>510000</v>
      </c>
      <c r="F32" s="1"/>
      <c r="G32" s="1"/>
      <c r="H32" s="1"/>
      <c r="J32">
        <f t="shared" si="0"/>
        <v>2.21</v>
      </c>
      <c r="K32">
        <v>22.1</v>
      </c>
      <c r="L32">
        <f t="shared" ref="L32:P32" si="30">K32*10</f>
        <v>221</v>
      </c>
      <c r="M32">
        <f t="shared" si="30"/>
        <v>2210</v>
      </c>
      <c r="N32">
        <f t="shared" si="30"/>
        <v>22100</v>
      </c>
      <c r="O32" s="8">
        <f t="shared" si="30"/>
        <v>221000</v>
      </c>
      <c r="P32" s="8">
        <f t="shared" si="30"/>
        <v>2210000</v>
      </c>
    </row>
    <row r="33" spans="1:16" x14ac:dyDescent="0.25">
      <c r="A33">
        <v>2.2600000000000002</v>
      </c>
      <c r="B33" s="1">
        <v>20</v>
      </c>
      <c r="D33" s="8">
        <v>4640000</v>
      </c>
      <c r="E33" s="1">
        <v>470000</v>
      </c>
      <c r="F33" s="1"/>
      <c r="G33" s="1"/>
      <c r="H33" s="1"/>
      <c r="J33">
        <f t="shared" si="0"/>
        <v>2.2600000000000002</v>
      </c>
      <c r="K33">
        <v>22.6</v>
      </c>
      <c r="L33">
        <f t="shared" ref="L33:P33" si="31">K33*10</f>
        <v>226</v>
      </c>
      <c r="M33">
        <f t="shared" si="31"/>
        <v>2260</v>
      </c>
      <c r="N33">
        <f t="shared" si="31"/>
        <v>22600</v>
      </c>
      <c r="O33" s="8">
        <f t="shared" si="31"/>
        <v>226000</v>
      </c>
      <c r="P33" s="8">
        <f t="shared" si="31"/>
        <v>2260000</v>
      </c>
    </row>
    <row r="34" spans="1:16" x14ac:dyDescent="0.25">
      <c r="A34">
        <v>2.3199999999999998</v>
      </c>
      <c r="B34" s="1">
        <v>22</v>
      </c>
      <c r="D34" s="8">
        <v>4520000</v>
      </c>
      <c r="E34" s="1">
        <v>430000</v>
      </c>
      <c r="F34" s="1"/>
      <c r="G34" s="1"/>
      <c r="H34" s="1"/>
      <c r="J34">
        <f t="shared" si="0"/>
        <v>2.3199999999999998</v>
      </c>
      <c r="K34">
        <v>23.2</v>
      </c>
      <c r="L34">
        <f t="shared" ref="L34:P34" si="32">K34*10</f>
        <v>232</v>
      </c>
      <c r="M34">
        <f t="shared" si="32"/>
        <v>2320</v>
      </c>
      <c r="N34">
        <f t="shared" si="32"/>
        <v>23200</v>
      </c>
      <c r="O34" s="8">
        <f t="shared" si="32"/>
        <v>232000</v>
      </c>
      <c r="P34" s="8">
        <f t="shared" si="32"/>
        <v>2320000</v>
      </c>
    </row>
    <row r="35" spans="1:16" x14ac:dyDescent="0.25">
      <c r="A35">
        <v>2.37</v>
      </c>
      <c r="B35" s="1">
        <v>24</v>
      </c>
      <c r="D35" s="8">
        <v>4420000</v>
      </c>
      <c r="E35" s="1">
        <v>390000</v>
      </c>
      <c r="F35" s="1"/>
      <c r="G35" s="1"/>
      <c r="H35" s="1"/>
      <c r="J35">
        <f t="shared" si="0"/>
        <v>2.37</v>
      </c>
      <c r="K35">
        <v>23.7</v>
      </c>
      <c r="L35">
        <f t="shared" ref="L35:P35" si="33">K35*10</f>
        <v>237</v>
      </c>
      <c r="M35">
        <f t="shared" si="33"/>
        <v>2370</v>
      </c>
      <c r="N35">
        <f t="shared" si="33"/>
        <v>23700</v>
      </c>
      <c r="O35" s="8">
        <f t="shared" si="33"/>
        <v>237000</v>
      </c>
      <c r="P35" s="8">
        <f t="shared" si="33"/>
        <v>2370000</v>
      </c>
    </row>
    <row r="36" spans="1:16" x14ac:dyDescent="0.25">
      <c r="A36">
        <v>2.4300000000000002</v>
      </c>
      <c r="B36" s="1">
        <v>27</v>
      </c>
      <c r="D36" s="8">
        <v>4320000</v>
      </c>
      <c r="E36" s="1">
        <v>360000</v>
      </c>
      <c r="F36" s="1"/>
      <c r="G36" s="1"/>
      <c r="H36" s="1"/>
      <c r="J36">
        <f t="shared" si="0"/>
        <v>2.4300000000000002</v>
      </c>
      <c r="K36">
        <v>24.3</v>
      </c>
      <c r="L36">
        <f t="shared" ref="L36:P36" si="34">K36*10</f>
        <v>243</v>
      </c>
      <c r="M36">
        <f t="shared" si="34"/>
        <v>2430</v>
      </c>
      <c r="N36">
        <f t="shared" si="34"/>
        <v>24300</v>
      </c>
      <c r="O36" s="8">
        <f t="shared" si="34"/>
        <v>243000</v>
      </c>
      <c r="P36" s="8">
        <f t="shared" si="34"/>
        <v>2430000</v>
      </c>
    </row>
    <row r="37" spans="1:16" x14ac:dyDescent="0.25">
      <c r="A37">
        <v>2.4899999999999998</v>
      </c>
      <c r="B37" s="1">
        <v>30</v>
      </c>
      <c r="D37" s="8">
        <v>4240000</v>
      </c>
      <c r="E37" s="1">
        <v>330000</v>
      </c>
      <c r="F37" s="1"/>
      <c r="G37" s="1"/>
      <c r="H37" s="1"/>
      <c r="J37">
        <f t="shared" si="0"/>
        <v>2.4899999999999998</v>
      </c>
      <c r="K37">
        <v>24.9</v>
      </c>
      <c r="L37">
        <f t="shared" ref="L37:P37" si="35">K37*10</f>
        <v>249</v>
      </c>
      <c r="M37">
        <f t="shared" si="35"/>
        <v>2490</v>
      </c>
      <c r="N37">
        <f t="shared" si="35"/>
        <v>24900</v>
      </c>
      <c r="O37" s="8">
        <f t="shared" si="35"/>
        <v>249000</v>
      </c>
      <c r="P37" s="8">
        <f t="shared" si="35"/>
        <v>2490000</v>
      </c>
    </row>
    <row r="38" spans="1:16" x14ac:dyDescent="0.25">
      <c r="A38">
        <v>2.5499999999999998</v>
      </c>
      <c r="B38" s="1">
        <v>33</v>
      </c>
      <c r="D38" s="8">
        <v>4120000</v>
      </c>
      <c r="E38" s="1">
        <v>300000</v>
      </c>
      <c r="F38" s="1"/>
      <c r="G38" s="1"/>
      <c r="H38" s="1"/>
      <c r="J38">
        <f t="shared" si="0"/>
        <v>2.5499999999999998</v>
      </c>
      <c r="K38">
        <v>25.5</v>
      </c>
      <c r="L38">
        <f t="shared" ref="L38:P38" si="36">K38*10</f>
        <v>255</v>
      </c>
      <c r="M38">
        <f t="shared" si="36"/>
        <v>2550</v>
      </c>
      <c r="N38">
        <f t="shared" si="36"/>
        <v>25500</v>
      </c>
      <c r="O38" s="8">
        <f t="shared" si="36"/>
        <v>255000</v>
      </c>
      <c r="P38" s="8">
        <f t="shared" si="36"/>
        <v>2550000</v>
      </c>
    </row>
    <row r="39" spans="1:16" x14ac:dyDescent="0.25">
      <c r="A39">
        <v>2.6100000000000003</v>
      </c>
      <c r="B39" s="1">
        <v>36</v>
      </c>
      <c r="D39" s="8">
        <v>4020000</v>
      </c>
      <c r="E39" s="1">
        <v>270000</v>
      </c>
      <c r="F39" s="1"/>
      <c r="G39" s="1"/>
      <c r="H39" s="1"/>
      <c r="J39">
        <f t="shared" si="0"/>
        <v>2.6100000000000003</v>
      </c>
      <c r="K39">
        <v>26.1</v>
      </c>
      <c r="L39">
        <f t="shared" ref="L39:P39" si="37">K39*10</f>
        <v>261</v>
      </c>
      <c r="M39">
        <f t="shared" si="37"/>
        <v>2610</v>
      </c>
      <c r="N39">
        <f t="shared" si="37"/>
        <v>26100</v>
      </c>
      <c r="O39" s="8">
        <f t="shared" si="37"/>
        <v>261000</v>
      </c>
      <c r="P39" s="8">
        <f t="shared" si="37"/>
        <v>2610000</v>
      </c>
    </row>
    <row r="40" spans="1:16" x14ac:dyDescent="0.25">
      <c r="A40">
        <v>2.67</v>
      </c>
      <c r="B40" s="1">
        <v>39</v>
      </c>
      <c r="D40" s="8">
        <v>3920000</v>
      </c>
      <c r="E40" s="1">
        <v>240000</v>
      </c>
      <c r="F40" s="1"/>
      <c r="G40" s="1"/>
      <c r="H40" s="1"/>
      <c r="J40">
        <f t="shared" si="0"/>
        <v>2.67</v>
      </c>
      <c r="K40">
        <v>26.7</v>
      </c>
      <c r="L40">
        <f t="shared" ref="L40:P40" si="38">K40*10</f>
        <v>267</v>
      </c>
      <c r="M40">
        <f t="shared" si="38"/>
        <v>2670</v>
      </c>
      <c r="N40">
        <f t="shared" si="38"/>
        <v>26700</v>
      </c>
      <c r="O40" s="8">
        <f t="shared" si="38"/>
        <v>267000</v>
      </c>
      <c r="P40" s="8">
        <f t="shared" si="38"/>
        <v>2670000</v>
      </c>
    </row>
    <row r="41" spans="1:16" x14ac:dyDescent="0.25">
      <c r="A41">
        <v>2.7399999999999998</v>
      </c>
      <c r="B41" s="1">
        <v>43</v>
      </c>
      <c r="D41" s="8">
        <v>3830000</v>
      </c>
      <c r="E41" s="1">
        <v>220000</v>
      </c>
      <c r="F41" s="1"/>
      <c r="G41" s="1"/>
      <c r="H41" s="1"/>
      <c r="J41">
        <f t="shared" si="0"/>
        <v>2.7399999999999998</v>
      </c>
      <c r="K41">
        <v>27.4</v>
      </c>
      <c r="L41">
        <f t="shared" ref="L41:P41" si="39">K41*10</f>
        <v>274</v>
      </c>
      <c r="M41">
        <f t="shared" si="39"/>
        <v>2740</v>
      </c>
      <c r="N41">
        <f t="shared" si="39"/>
        <v>27400</v>
      </c>
      <c r="O41" s="8">
        <f t="shared" si="39"/>
        <v>274000</v>
      </c>
      <c r="P41" s="8">
        <f t="shared" si="39"/>
        <v>2740000</v>
      </c>
    </row>
    <row r="42" spans="1:16" x14ac:dyDescent="0.25">
      <c r="A42">
        <v>2.8</v>
      </c>
      <c r="B42" s="1">
        <v>47</v>
      </c>
      <c r="D42" s="8">
        <v>3740000</v>
      </c>
      <c r="E42" s="1">
        <v>200000</v>
      </c>
      <c r="F42" s="1"/>
      <c r="G42" s="1"/>
      <c r="H42" s="1"/>
      <c r="J42">
        <f t="shared" si="0"/>
        <v>2.8</v>
      </c>
      <c r="K42">
        <v>28</v>
      </c>
      <c r="L42">
        <f t="shared" ref="L42:P42" si="40">K42*10</f>
        <v>280</v>
      </c>
      <c r="M42">
        <f t="shared" si="40"/>
        <v>2800</v>
      </c>
      <c r="N42">
        <f t="shared" si="40"/>
        <v>28000</v>
      </c>
      <c r="O42" s="8">
        <f t="shared" si="40"/>
        <v>280000</v>
      </c>
      <c r="P42" s="8">
        <f t="shared" si="40"/>
        <v>2800000</v>
      </c>
    </row>
    <row r="43" spans="1:16" x14ac:dyDescent="0.25">
      <c r="A43">
        <v>2.87</v>
      </c>
      <c r="B43" s="1">
        <v>51</v>
      </c>
      <c r="D43" s="8">
        <v>3650000</v>
      </c>
      <c r="E43" s="1">
        <v>180000</v>
      </c>
      <c r="F43" s="1"/>
      <c r="G43" s="1"/>
      <c r="H43" s="1"/>
      <c r="J43">
        <f t="shared" si="0"/>
        <v>2.87</v>
      </c>
      <c r="K43">
        <v>28.7</v>
      </c>
      <c r="L43">
        <f t="shared" ref="L43:P43" si="41">K43*10</f>
        <v>287</v>
      </c>
      <c r="M43">
        <f t="shared" si="41"/>
        <v>2870</v>
      </c>
      <c r="N43">
        <f t="shared" si="41"/>
        <v>28700</v>
      </c>
      <c r="O43" s="8">
        <f t="shared" si="41"/>
        <v>287000</v>
      </c>
      <c r="P43" s="8">
        <f t="shared" si="41"/>
        <v>2870000</v>
      </c>
    </row>
    <row r="44" spans="1:16" x14ac:dyDescent="0.25">
      <c r="A44">
        <v>2.94</v>
      </c>
      <c r="B44" s="1">
        <v>56</v>
      </c>
      <c r="D44" s="8">
        <v>3570000</v>
      </c>
      <c r="E44" s="1">
        <v>160000</v>
      </c>
      <c r="F44" s="1"/>
      <c r="G44" s="1"/>
      <c r="H44" s="1"/>
      <c r="J44">
        <f t="shared" si="0"/>
        <v>2.94</v>
      </c>
      <c r="K44">
        <v>29.4</v>
      </c>
      <c r="L44">
        <f t="shared" ref="L44:P44" si="42">K44*10</f>
        <v>294</v>
      </c>
      <c r="M44">
        <f t="shared" si="42"/>
        <v>2940</v>
      </c>
      <c r="N44">
        <f t="shared" si="42"/>
        <v>29400</v>
      </c>
      <c r="O44" s="8">
        <f t="shared" si="42"/>
        <v>294000</v>
      </c>
      <c r="P44" s="8">
        <f t="shared" si="42"/>
        <v>2940000</v>
      </c>
    </row>
    <row r="45" spans="1:16" x14ac:dyDescent="0.25">
      <c r="A45">
        <v>3.0100000000000002</v>
      </c>
      <c r="B45" s="1">
        <v>62</v>
      </c>
      <c r="D45" s="8">
        <v>3480000</v>
      </c>
      <c r="E45" s="1">
        <v>150000</v>
      </c>
      <c r="F45" s="1"/>
      <c r="G45" s="1"/>
      <c r="H45" s="1"/>
      <c r="J45">
        <f t="shared" si="0"/>
        <v>3.0100000000000002</v>
      </c>
      <c r="K45">
        <v>30.1</v>
      </c>
      <c r="L45">
        <f t="shared" ref="L45:P45" si="43">K45*10</f>
        <v>301</v>
      </c>
      <c r="M45">
        <f t="shared" si="43"/>
        <v>3010</v>
      </c>
      <c r="N45">
        <f t="shared" si="43"/>
        <v>30100</v>
      </c>
      <c r="O45" s="8">
        <f t="shared" si="43"/>
        <v>301000</v>
      </c>
      <c r="P45" s="8">
        <f t="shared" si="43"/>
        <v>3010000</v>
      </c>
    </row>
    <row r="46" spans="1:16" x14ac:dyDescent="0.25">
      <c r="A46">
        <v>3.09</v>
      </c>
      <c r="B46" s="1">
        <v>68</v>
      </c>
      <c r="D46" s="8">
        <v>3400000</v>
      </c>
      <c r="E46" s="1">
        <v>130000</v>
      </c>
      <c r="F46" s="1"/>
      <c r="G46" s="1"/>
      <c r="H46" s="1"/>
      <c r="J46">
        <f t="shared" si="0"/>
        <v>3.09</v>
      </c>
      <c r="K46">
        <v>30.9</v>
      </c>
      <c r="L46">
        <f t="shared" ref="L46:P46" si="44">K46*10</f>
        <v>309</v>
      </c>
      <c r="M46">
        <f t="shared" si="44"/>
        <v>3090</v>
      </c>
      <c r="N46">
        <f t="shared" si="44"/>
        <v>30900</v>
      </c>
      <c r="O46" s="8">
        <f t="shared" si="44"/>
        <v>309000</v>
      </c>
      <c r="P46" s="8">
        <f t="shared" si="44"/>
        <v>3090000</v>
      </c>
    </row>
    <row r="47" spans="1:16" x14ac:dyDescent="0.25">
      <c r="A47">
        <v>3.16</v>
      </c>
      <c r="B47" s="1">
        <v>75</v>
      </c>
      <c r="D47" s="8">
        <v>3320000</v>
      </c>
      <c r="E47" s="1">
        <v>120000</v>
      </c>
      <c r="F47" s="1"/>
      <c r="G47" s="1"/>
      <c r="H47" s="1"/>
      <c r="J47">
        <f t="shared" si="0"/>
        <v>3.16</v>
      </c>
      <c r="K47">
        <v>31.6</v>
      </c>
      <c r="L47">
        <f t="shared" ref="L47:P47" si="45">K47*10</f>
        <v>316</v>
      </c>
      <c r="M47">
        <f t="shared" si="45"/>
        <v>3160</v>
      </c>
      <c r="N47">
        <f t="shared" si="45"/>
        <v>31600</v>
      </c>
      <c r="O47" s="8">
        <f t="shared" si="45"/>
        <v>316000</v>
      </c>
      <c r="P47" s="8">
        <f t="shared" si="45"/>
        <v>3160000</v>
      </c>
    </row>
    <row r="48" spans="1:16" x14ac:dyDescent="0.25">
      <c r="A48">
        <v>3.2399999999999998</v>
      </c>
      <c r="B48" s="1">
        <v>82</v>
      </c>
      <c r="D48" s="8">
        <v>3240000</v>
      </c>
      <c r="E48" s="1">
        <v>110000</v>
      </c>
      <c r="F48" s="1"/>
      <c r="G48" s="1"/>
      <c r="H48" s="1"/>
      <c r="J48">
        <f t="shared" si="0"/>
        <v>3.2399999999999998</v>
      </c>
      <c r="K48">
        <v>32.4</v>
      </c>
      <c r="L48">
        <f t="shared" ref="L48:P48" si="46">K48*10</f>
        <v>324</v>
      </c>
      <c r="M48">
        <f t="shared" si="46"/>
        <v>3240</v>
      </c>
      <c r="N48">
        <f t="shared" si="46"/>
        <v>32400</v>
      </c>
      <c r="O48" s="8">
        <f t="shared" si="46"/>
        <v>324000</v>
      </c>
      <c r="P48" s="8">
        <f t="shared" si="46"/>
        <v>3240000</v>
      </c>
    </row>
    <row r="49" spans="1:16" x14ac:dyDescent="0.25">
      <c r="A49">
        <v>3.3200000000000003</v>
      </c>
      <c r="B49" s="1">
        <v>91</v>
      </c>
      <c r="D49" s="8">
        <v>3160000</v>
      </c>
      <c r="E49" s="1">
        <v>100000</v>
      </c>
      <c r="F49" s="1"/>
      <c r="G49" s="1"/>
      <c r="H49" s="1"/>
      <c r="J49">
        <f t="shared" si="0"/>
        <v>3.3200000000000003</v>
      </c>
      <c r="K49">
        <v>33.200000000000003</v>
      </c>
      <c r="L49">
        <f t="shared" ref="L49:P49" si="47">K49*10</f>
        <v>332</v>
      </c>
      <c r="M49">
        <f t="shared" si="47"/>
        <v>3320</v>
      </c>
      <c r="N49">
        <f t="shared" si="47"/>
        <v>33200</v>
      </c>
      <c r="O49" s="8">
        <f t="shared" si="47"/>
        <v>332000</v>
      </c>
      <c r="P49" s="8">
        <f t="shared" si="47"/>
        <v>3320000</v>
      </c>
    </row>
    <row r="50" spans="1:16" x14ac:dyDescent="0.25">
      <c r="A50">
        <v>3.4</v>
      </c>
      <c r="B50" s="1">
        <v>100</v>
      </c>
      <c r="D50" s="8">
        <v>3090000</v>
      </c>
      <c r="E50" s="1">
        <v>91000</v>
      </c>
      <c r="F50" s="1"/>
      <c r="G50" s="1"/>
      <c r="H50" s="1"/>
      <c r="J50">
        <f t="shared" si="0"/>
        <v>3.4</v>
      </c>
      <c r="K50">
        <v>34</v>
      </c>
      <c r="L50">
        <f t="shared" ref="L50:P50" si="48">K50*10</f>
        <v>340</v>
      </c>
      <c r="M50">
        <f t="shared" si="48"/>
        <v>3400</v>
      </c>
      <c r="N50">
        <f t="shared" si="48"/>
        <v>34000</v>
      </c>
      <c r="O50" s="8">
        <f t="shared" si="48"/>
        <v>340000</v>
      </c>
      <c r="P50" s="8">
        <f t="shared" si="48"/>
        <v>3400000</v>
      </c>
    </row>
    <row r="51" spans="1:16" x14ac:dyDescent="0.25">
      <c r="A51">
        <v>3.4799999999999995</v>
      </c>
      <c r="B51" s="1">
        <v>110</v>
      </c>
      <c r="D51" s="8">
        <v>3010000</v>
      </c>
      <c r="E51" s="1">
        <v>82000</v>
      </c>
      <c r="F51" s="1"/>
      <c r="G51" s="1"/>
      <c r="H51" s="1"/>
      <c r="J51">
        <f t="shared" si="0"/>
        <v>3.4799999999999995</v>
      </c>
      <c r="K51">
        <v>34.799999999999997</v>
      </c>
      <c r="L51">
        <f t="shared" ref="L51:P51" si="49">K51*10</f>
        <v>348</v>
      </c>
      <c r="M51">
        <f t="shared" si="49"/>
        <v>3480</v>
      </c>
      <c r="N51">
        <f t="shared" si="49"/>
        <v>34800</v>
      </c>
      <c r="O51" s="8">
        <f t="shared" si="49"/>
        <v>348000</v>
      </c>
      <c r="P51" s="8">
        <f t="shared" si="49"/>
        <v>3480000</v>
      </c>
    </row>
    <row r="52" spans="1:16" x14ac:dyDescent="0.25">
      <c r="A52">
        <v>3.5700000000000003</v>
      </c>
      <c r="B52" s="1">
        <v>120</v>
      </c>
      <c r="D52" s="8">
        <v>2940000</v>
      </c>
      <c r="E52" s="1">
        <v>75000</v>
      </c>
      <c r="F52" s="1"/>
      <c r="G52" s="1"/>
      <c r="H52" s="1"/>
      <c r="J52">
        <f t="shared" si="0"/>
        <v>3.5700000000000003</v>
      </c>
      <c r="K52">
        <v>35.700000000000003</v>
      </c>
      <c r="L52">
        <f t="shared" ref="L52:P52" si="50">K52*10</f>
        <v>357</v>
      </c>
      <c r="M52">
        <f t="shared" si="50"/>
        <v>3570</v>
      </c>
      <c r="N52">
        <f t="shared" si="50"/>
        <v>35700</v>
      </c>
      <c r="O52" s="8">
        <f t="shared" si="50"/>
        <v>357000</v>
      </c>
      <c r="P52" s="8">
        <f t="shared" si="50"/>
        <v>3570000</v>
      </c>
    </row>
    <row r="53" spans="1:16" x14ac:dyDescent="0.25">
      <c r="A53">
        <v>3.65</v>
      </c>
      <c r="B53" s="1">
        <v>130</v>
      </c>
      <c r="D53" s="8">
        <v>2870000</v>
      </c>
      <c r="E53" s="1">
        <v>68000</v>
      </c>
      <c r="F53" s="1"/>
      <c r="G53" s="1"/>
      <c r="H53" s="1"/>
      <c r="J53">
        <f t="shared" si="0"/>
        <v>3.65</v>
      </c>
      <c r="K53">
        <v>36.5</v>
      </c>
      <c r="L53">
        <f t="shared" ref="L53:P53" si="51">K53*10</f>
        <v>365</v>
      </c>
      <c r="M53">
        <f t="shared" si="51"/>
        <v>3650</v>
      </c>
      <c r="N53">
        <f t="shared" si="51"/>
        <v>36500</v>
      </c>
      <c r="O53" s="8">
        <f t="shared" si="51"/>
        <v>365000</v>
      </c>
      <c r="P53" s="8">
        <f t="shared" si="51"/>
        <v>3650000</v>
      </c>
    </row>
    <row r="54" spans="1:16" x14ac:dyDescent="0.25">
      <c r="A54">
        <v>3.7399999999999998</v>
      </c>
      <c r="B54" s="1">
        <v>150</v>
      </c>
      <c r="D54" s="8">
        <v>2800000</v>
      </c>
      <c r="E54" s="1">
        <v>62000</v>
      </c>
      <c r="F54" s="1"/>
      <c r="G54" s="1"/>
      <c r="H54" s="1"/>
      <c r="J54">
        <f t="shared" si="0"/>
        <v>3.7399999999999998</v>
      </c>
      <c r="K54">
        <v>37.4</v>
      </c>
      <c r="L54">
        <f t="shared" ref="L54:P54" si="52">K54*10</f>
        <v>374</v>
      </c>
      <c r="M54">
        <f t="shared" si="52"/>
        <v>3740</v>
      </c>
      <c r="N54">
        <f t="shared" si="52"/>
        <v>37400</v>
      </c>
      <c r="O54" s="8">
        <f t="shared" si="52"/>
        <v>374000</v>
      </c>
      <c r="P54" s="8">
        <f t="shared" si="52"/>
        <v>3740000</v>
      </c>
    </row>
    <row r="55" spans="1:16" x14ac:dyDescent="0.25">
      <c r="A55">
        <v>3.8299999999999996</v>
      </c>
      <c r="B55" s="1">
        <v>160</v>
      </c>
      <c r="D55" s="8">
        <v>2740000</v>
      </c>
      <c r="E55" s="1">
        <v>56000</v>
      </c>
      <c r="F55" s="1"/>
      <c r="G55" s="1"/>
      <c r="H55" s="1"/>
      <c r="J55">
        <f t="shared" si="0"/>
        <v>3.8299999999999996</v>
      </c>
      <c r="K55">
        <v>38.299999999999997</v>
      </c>
      <c r="L55">
        <f t="shared" ref="L55:P55" si="53">K55*10</f>
        <v>383</v>
      </c>
      <c r="M55">
        <f t="shared" si="53"/>
        <v>3830</v>
      </c>
      <c r="N55">
        <f t="shared" si="53"/>
        <v>38300</v>
      </c>
      <c r="O55" s="8">
        <f t="shared" si="53"/>
        <v>383000</v>
      </c>
      <c r="P55" s="8">
        <f t="shared" si="53"/>
        <v>3830000</v>
      </c>
    </row>
    <row r="56" spans="1:16" x14ac:dyDescent="0.25">
      <c r="A56">
        <v>3.9200000000000004</v>
      </c>
      <c r="B56" s="1">
        <v>180</v>
      </c>
      <c r="D56" s="8">
        <v>2670000</v>
      </c>
      <c r="E56" s="1">
        <v>51000</v>
      </c>
      <c r="F56" s="1"/>
      <c r="G56" s="1"/>
      <c r="H56" s="1"/>
      <c r="J56">
        <f t="shared" si="0"/>
        <v>3.9200000000000004</v>
      </c>
      <c r="K56">
        <v>39.200000000000003</v>
      </c>
      <c r="L56">
        <f t="shared" ref="L56:P56" si="54">K56*10</f>
        <v>392</v>
      </c>
      <c r="M56">
        <f t="shared" si="54"/>
        <v>3920</v>
      </c>
      <c r="N56">
        <f t="shared" si="54"/>
        <v>39200</v>
      </c>
      <c r="O56" s="8">
        <f t="shared" si="54"/>
        <v>392000</v>
      </c>
      <c r="P56" s="8">
        <f t="shared" si="54"/>
        <v>3920000</v>
      </c>
    </row>
    <row r="57" spans="1:16" x14ac:dyDescent="0.25">
      <c r="A57">
        <v>4.0200000000000005</v>
      </c>
      <c r="B57" s="1">
        <v>200</v>
      </c>
      <c r="D57" s="8">
        <v>2610000</v>
      </c>
      <c r="E57" s="1">
        <v>47000</v>
      </c>
      <c r="F57" s="1"/>
      <c r="G57" s="1"/>
      <c r="H57" s="1"/>
      <c r="J57">
        <f t="shared" si="0"/>
        <v>4.0200000000000005</v>
      </c>
      <c r="K57">
        <v>40.200000000000003</v>
      </c>
      <c r="L57">
        <f t="shared" ref="L57:P57" si="55">K57*10</f>
        <v>402</v>
      </c>
      <c r="M57">
        <f t="shared" si="55"/>
        <v>4020</v>
      </c>
      <c r="N57">
        <f t="shared" si="55"/>
        <v>40200</v>
      </c>
      <c r="O57" s="8">
        <f t="shared" si="55"/>
        <v>402000</v>
      </c>
      <c r="P57" s="8">
        <f t="shared" si="55"/>
        <v>4020000</v>
      </c>
    </row>
    <row r="58" spans="1:16" x14ac:dyDescent="0.25">
      <c r="A58">
        <v>4.12</v>
      </c>
      <c r="B58" s="1">
        <v>220</v>
      </c>
      <c r="D58" s="8">
        <v>2550000</v>
      </c>
      <c r="E58" s="1">
        <v>43000</v>
      </c>
      <c r="F58" s="1"/>
      <c r="G58" s="1"/>
      <c r="H58" s="1"/>
      <c r="J58">
        <f t="shared" si="0"/>
        <v>4.12</v>
      </c>
      <c r="K58">
        <v>41.2</v>
      </c>
      <c r="L58">
        <f t="shared" ref="L58:P58" si="56">K58*10</f>
        <v>412</v>
      </c>
      <c r="M58">
        <f t="shared" si="56"/>
        <v>4120</v>
      </c>
      <c r="N58">
        <f t="shared" si="56"/>
        <v>41200</v>
      </c>
      <c r="O58" s="8">
        <f t="shared" si="56"/>
        <v>412000</v>
      </c>
      <c r="P58" s="8">
        <f t="shared" si="56"/>
        <v>4120000</v>
      </c>
    </row>
    <row r="59" spans="1:16" x14ac:dyDescent="0.25">
      <c r="A59">
        <v>4.24</v>
      </c>
      <c r="B59" s="1">
        <v>240</v>
      </c>
      <c r="D59" s="8">
        <v>2490000</v>
      </c>
      <c r="E59" s="1">
        <v>39000</v>
      </c>
      <c r="F59" s="1"/>
      <c r="G59" s="1"/>
      <c r="H59" s="1"/>
      <c r="J59">
        <f t="shared" si="0"/>
        <v>4.24</v>
      </c>
      <c r="K59">
        <v>42.4</v>
      </c>
      <c r="L59">
        <f t="shared" ref="L59:P59" si="57">K59*10</f>
        <v>424</v>
      </c>
      <c r="M59">
        <f t="shared" si="57"/>
        <v>4240</v>
      </c>
      <c r="N59">
        <f t="shared" si="57"/>
        <v>42400</v>
      </c>
      <c r="O59" s="8">
        <f t="shared" si="57"/>
        <v>424000</v>
      </c>
      <c r="P59" s="8">
        <f t="shared" si="57"/>
        <v>4240000</v>
      </c>
    </row>
    <row r="60" spans="1:16" x14ac:dyDescent="0.25">
      <c r="A60">
        <v>4.32</v>
      </c>
      <c r="B60" s="1">
        <v>270</v>
      </c>
      <c r="D60" s="8">
        <v>2430000</v>
      </c>
      <c r="E60" s="1">
        <v>36000</v>
      </c>
      <c r="F60" s="1"/>
      <c r="G60" s="1"/>
      <c r="H60" s="1"/>
      <c r="J60">
        <f t="shared" si="0"/>
        <v>4.32</v>
      </c>
      <c r="K60">
        <v>43.2</v>
      </c>
      <c r="L60">
        <f t="shared" ref="L60:P60" si="58">K60*10</f>
        <v>432</v>
      </c>
      <c r="M60">
        <f t="shared" si="58"/>
        <v>4320</v>
      </c>
      <c r="N60">
        <f t="shared" si="58"/>
        <v>43200</v>
      </c>
      <c r="O60" s="8">
        <f t="shared" si="58"/>
        <v>432000</v>
      </c>
      <c r="P60" s="8">
        <f t="shared" si="58"/>
        <v>4320000</v>
      </c>
    </row>
    <row r="61" spans="1:16" x14ac:dyDescent="0.25">
      <c r="A61">
        <v>4.42</v>
      </c>
      <c r="B61" s="1">
        <v>300</v>
      </c>
      <c r="D61" s="8">
        <v>2370000</v>
      </c>
      <c r="E61" s="1">
        <v>33000</v>
      </c>
      <c r="F61" s="1"/>
      <c r="G61" s="1"/>
      <c r="H61" s="1"/>
      <c r="J61">
        <f t="shared" si="0"/>
        <v>4.42</v>
      </c>
      <c r="K61">
        <v>44.2</v>
      </c>
      <c r="L61">
        <f t="shared" ref="L61:P61" si="59">K61*10</f>
        <v>442</v>
      </c>
      <c r="M61">
        <f t="shared" si="59"/>
        <v>4420</v>
      </c>
      <c r="N61">
        <f t="shared" si="59"/>
        <v>44200</v>
      </c>
      <c r="O61" s="8">
        <f t="shared" si="59"/>
        <v>442000</v>
      </c>
      <c r="P61" s="8">
        <f t="shared" si="59"/>
        <v>4420000</v>
      </c>
    </row>
    <row r="62" spans="1:16" x14ac:dyDescent="0.25">
      <c r="A62">
        <v>4.5200000000000005</v>
      </c>
      <c r="B62" s="1">
        <v>330</v>
      </c>
      <c r="D62" s="8">
        <v>2320000</v>
      </c>
      <c r="E62" s="1">
        <v>30000</v>
      </c>
      <c r="F62" s="1"/>
      <c r="G62" s="1"/>
      <c r="H62" s="1"/>
      <c r="J62">
        <f t="shared" si="0"/>
        <v>4.5200000000000005</v>
      </c>
      <c r="K62">
        <v>45.2</v>
      </c>
      <c r="L62">
        <f t="shared" ref="L62:P62" si="60">K62*10</f>
        <v>452</v>
      </c>
      <c r="M62">
        <f t="shared" si="60"/>
        <v>4520</v>
      </c>
      <c r="N62">
        <f t="shared" si="60"/>
        <v>45200</v>
      </c>
      <c r="O62" s="8">
        <f t="shared" si="60"/>
        <v>452000</v>
      </c>
      <c r="P62" s="8">
        <f t="shared" si="60"/>
        <v>4520000</v>
      </c>
    </row>
    <row r="63" spans="1:16" x14ac:dyDescent="0.25">
      <c r="A63">
        <v>4.6399999999999997</v>
      </c>
      <c r="B63" s="1">
        <v>360</v>
      </c>
      <c r="D63" s="8">
        <v>2260000</v>
      </c>
      <c r="E63" s="1">
        <v>27000</v>
      </c>
      <c r="F63" s="1"/>
      <c r="G63" s="1"/>
      <c r="H63" s="1"/>
      <c r="J63">
        <f t="shared" si="0"/>
        <v>4.6399999999999997</v>
      </c>
      <c r="K63">
        <v>46.4</v>
      </c>
      <c r="L63">
        <f t="shared" ref="L63:P63" si="61">K63*10</f>
        <v>464</v>
      </c>
      <c r="M63">
        <f t="shared" si="61"/>
        <v>4640</v>
      </c>
      <c r="N63">
        <f t="shared" si="61"/>
        <v>46400</v>
      </c>
      <c r="O63" s="8">
        <f t="shared" si="61"/>
        <v>464000</v>
      </c>
      <c r="P63" s="8">
        <f t="shared" si="61"/>
        <v>4640000</v>
      </c>
    </row>
    <row r="64" spans="1:16" x14ac:dyDescent="0.25">
      <c r="A64">
        <v>4.75</v>
      </c>
      <c r="B64" s="1">
        <v>390</v>
      </c>
      <c r="D64" s="8">
        <v>2210000</v>
      </c>
      <c r="E64" s="1">
        <v>24000</v>
      </c>
      <c r="F64" s="1"/>
      <c r="G64" s="1"/>
      <c r="H64" s="1"/>
      <c r="J64">
        <f t="shared" si="0"/>
        <v>4.75</v>
      </c>
      <c r="K64">
        <v>47.5</v>
      </c>
      <c r="L64">
        <f t="shared" ref="L64:P64" si="62">K64*10</f>
        <v>475</v>
      </c>
      <c r="M64">
        <f t="shared" si="62"/>
        <v>4750</v>
      </c>
      <c r="N64">
        <f t="shared" si="62"/>
        <v>47500</v>
      </c>
      <c r="O64" s="8">
        <f t="shared" si="62"/>
        <v>475000</v>
      </c>
      <c r="P64" s="8">
        <f t="shared" si="62"/>
        <v>4750000</v>
      </c>
    </row>
    <row r="65" spans="1:16" x14ac:dyDescent="0.25">
      <c r="A65">
        <v>4.87</v>
      </c>
      <c r="B65" s="1">
        <v>430</v>
      </c>
      <c r="D65" s="8">
        <v>2150000</v>
      </c>
      <c r="E65" s="1">
        <v>22000</v>
      </c>
      <c r="F65" s="1"/>
      <c r="G65" s="1"/>
      <c r="H65" s="1"/>
      <c r="J65">
        <f t="shared" si="0"/>
        <v>4.87</v>
      </c>
      <c r="K65">
        <v>48.7</v>
      </c>
      <c r="L65">
        <f t="shared" ref="L65:P65" si="63">K65*10</f>
        <v>487</v>
      </c>
      <c r="M65">
        <f t="shared" si="63"/>
        <v>4870</v>
      </c>
      <c r="N65">
        <f t="shared" si="63"/>
        <v>48700</v>
      </c>
      <c r="O65" s="8">
        <f t="shared" si="63"/>
        <v>487000</v>
      </c>
      <c r="P65" s="8">
        <f t="shared" si="63"/>
        <v>4870000</v>
      </c>
    </row>
    <row r="66" spans="1:16" x14ac:dyDescent="0.25">
      <c r="A66">
        <v>4.99</v>
      </c>
      <c r="B66" s="1">
        <v>470</v>
      </c>
      <c r="D66" s="8">
        <v>2100000</v>
      </c>
      <c r="E66" s="1">
        <v>20000</v>
      </c>
      <c r="F66" s="1"/>
      <c r="G66" s="1"/>
      <c r="H66" s="1"/>
      <c r="J66">
        <f t="shared" si="0"/>
        <v>4.99</v>
      </c>
      <c r="K66">
        <v>49.9</v>
      </c>
      <c r="L66">
        <f t="shared" ref="L66:P66" si="64">K66*10</f>
        <v>499</v>
      </c>
      <c r="M66">
        <f t="shared" si="64"/>
        <v>4990</v>
      </c>
      <c r="N66">
        <f t="shared" si="64"/>
        <v>49900</v>
      </c>
      <c r="O66" s="8">
        <f t="shared" si="64"/>
        <v>499000</v>
      </c>
      <c r="P66" s="8">
        <f t="shared" si="64"/>
        <v>4990000</v>
      </c>
    </row>
    <row r="67" spans="1:16" x14ac:dyDescent="0.25">
      <c r="A67">
        <v>5.1100000000000003</v>
      </c>
      <c r="B67" s="1">
        <v>510</v>
      </c>
      <c r="D67" s="8">
        <v>2050000</v>
      </c>
      <c r="E67" s="1">
        <v>18000</v>
      </c>
      <c r="F67" s="1"/>
      <c r="G67" s="1"/>
      <c r="H67" s="1"/>
      <c r="J67">
        <f t="shared" ref="J67:J94" si="65">K67/10</f>
        <v>5.1100000000000003</v>
      </c>
      <c r="K67">
        <v>51.1</v>
      </c>
      <c r="L67">
        <f t="shared" ref="L67:P67" si="66">K67*10</f>
        <v>511</v>
      </c>
      <c r="M67">
        <f t="shared" si="66"/>
        <v>5110</v>
      </c>
      <c r="N67">
        <f t="shared" si="66"/>
        <v>51100</v>
      </c>
      <c r="O67" s="8">
        <f t="shared" si="66"/>
        <v>511000</v>
      </c>
      <c r="P67" s="8">
        <f t="shared" si="66"/>
        <v>5110000</v>
      </c>
    </row>
    <row r="68" spans="1:16" x14ac:dyDescent="0.25">
      <c r="A68">
        <v>5.2299999999999995</v>
      </c>
      <c r="B68" s="1">
        <v>560</v>
      </c>
      <c r="D68" s="8">
        <v>2000000</v>
      </c>
      <c r="E68" s="1">
        <v>16000</v>
      </c>
      <c r="F68" s="1"/>
      <c r="G68" s="1"/>
      <c r="H68" s="1"/>
      <c r="J68">
        <f t="shared" si="65"/>
        <v>5.2299999999999995</v>
      </c>
      <c r="K68">
        <v>52.3</v>
      </c>
      <c r="L68">
        <f t="shared" ref="L68:P68" si="67">K68*10</f>
        <v>523</v>
      </c>
      <c r="M68">
        <f t="shared" si="67"/>
        <v>5230</v>
      </c>
      <c r="N68">
        <f t="shared" si="67"/>
        <v>52300</v>
      </c>
      <c r="O68" s="8">
        <f t="shared" si="67"/>
        <v>523000</v>
      </c>
      <c r="P68" s="8">
        <f t="shared" si="67"/>
        <v>5230000</v>
      </c>
    </row>
    <row r="69" spans="1:16" x14ac:dyDescent="0.25">
      <c r="A69">
        <v>5.36</v>
      </c>
      <c r="B69" s="1">
        <v>620</v>
      </c>
      <c r="D69" s="8">
        <v>1960000</v>
      </c>
      <c r="E69" s="1">
        <v>15000</v>
      </c>
      <c r="F69" s="1"/>
      <c r="G69" s="1"/>
      <c r="H69" s="1"/>
      <c r="J69">
        <f t="shared" si="65"/>
        <v>5.36</v>
      </c>
      <c r="K69">
        <v>53.6</v>
      </c>
      <c r="L69">
        <f t="shared" ref="L69:P69" si="68">K69*10</f>
        <v>536</v>
      </c>
      <c r="M69">
        <f t="shared" si="68"/>
        <v>5360</v>
      </c>
      <c r="N69">
        <f t="shared" si="68"/>
        <v>53600</v>
      </c>
      <c r="O69" s="8">
        <f t="shared" si="68"/>
        <v>536000</v>
      </c>
      <c r="P69" s="8">
        <f t="shared" si="68"/>
        <v>5360000</v>
      </c>
    </row>
    <row r="70" spans="1:16" x14ac:dyDescent="0.25">
      <c r="A70">
        <v>5.49</v>
      </c>
      <c r="B70" s="1">
        <v>680</v>
      </c>
      <c r="D70" s="8">
        <v>1820000</v>
      </c>
      <c r="E70" s="1">
        <v>13000</v>
      </c>
      <c r="F70" s="1"/>
      <c r="G70" s="1"/>
      <c r="H70" s="1"/>
      <c r="J70">
        <f t="shared" si="65"/>
        <v>5.49</v>
      </c>
      <c r="K70">
        <v>54.9</v>
      </c>
      <c r="L70">
        <f t="shared" ref="L70:P70" si="69">K70*10</f>
        <v>549</v>
      </c>
      <c r="M70">
        <f t="shared" si="69"/>
        <v>5490</v>
      </c>
      <c r="N70">
        <f t="shared" si="69"/>
        <v>54900</v>
      </c>
      <c r="O70" s="8">
        <f t="shared" si="69"/>
        <v>549000</v>
      </c>
      <c r="P70" s="8">
        <f t="shared" si="69"/>
        <v>5490000</v>
      </c>
    </row>
    <row r="71" spans="1:16" x14ac:dyDescent="0.25">
      <c r="A71">
        <v>5.62</v>
      </c>
      <c r="B71" s="1">
        <v>750</v>
      </c>
      <c r="D71" s="8">
        <v>1740000</v>
      </c>
      <c r="E71" s="1">
        <v>12000</v>
      </c>
      <c r="F71" s="1"/>
      <c r="G71" s="1"/>
      <c r="H71" s="1"/>
      <c r="J71">
        <f t="shared" si="65"/>
        <v>5.62</v>
      </c>
      <c r="K71">
        <v>56.2</v>
      </c>
      <c r="L71">
        <f t="shared" ref="L71:P71" si="70">K71*10</f>
        <v>562</v>
      </c>
      <c r="M71">
        <f t="shared" si="70"/>
        <v>5620</v>
      </c>
      <c r="N71">
        <f t="shared" si="70"/>
        <v>56200</v>
      </c>
      <c r="O71" s="8">
        <f t="shared" si="70"/>
        <v>562000</v>
      </c>
      <c r="P71" s="8">
        <f t="shared" si="70"/>
        <v>5620000</v>
      </c>
    </row>
    <row r="72" spans="1:16" x14ac:dyDescent="0.25">
      <c r="A72">
        <v>5.76</v>
      </c>
      <c r="B72" s="1">
        <v>820</v>
      </c>
      <c r="D72" s="8">
        <v>1690000</v>
      </c>
      <c r="E72" s="1">
        <v>11000</v>
      </c>
      <c r="F72" s="1"/>
      <c r="G72" s="1"/>
      <c r="H72" s="1"/>
      <c r="J72">
        <f t="shared" si="65"/>
        <v>5.76</v>
      </c>
      <c r="K72">
        <v>57.6</v>
      </c>
      <c r="L72">
        <f t="shared" ref="L72:P72" si="71">K72*10</f>
        <v>576</v>
      </c>
      <c r="M72">
        <f t="shared" si="71"/>
        <v>5760</v>
      </c>
      <c r="N72">
        <f t="shared" si="71"/>
        <v>57600</v>
      </c>
      <c r="O72" s="8">
        <f t="shared" si="71"/>
        <v>576000</v>
      </c>
      <c r="P72" s="8">
        <f t="shared" si="71"/>
        <v>5760000</v>
      </c>
    </row>
    <row r="73" spans="1:16" x14ac:dyDescent="0.25">
      <c r="A73">
        <v>5.9</v>
      </c>
      <c r="B73" s="1">
        <v>910</v>
      </c>
      <c r="D73" s="8">
        <v>1650000</v>
      </c>
      <c r="E73" s="1">
        <v>10000</v>
      </c>
      <c r="F73" s="1"/>
      <c r="G73" s="1"/>
      <c r="H73" s="1"/>
      <c r="J73">
        <f t="shared" si="65"/>
        <v>5.9</v>
      </c>
      <c r="K73">
        <v>59</v>
      </c>
      <c r="L73">
        <f t="shared" ref="L73:P73" si="72">K73*10</f>
        <v>590</v>
      </c>
      <c r="M73">
        <f t="shared" si="72"/>
        <v>5900</v>
      </c>
      <c r="N73">
        <f t="shared" si="72"/>
        <v>59000</v>
      </c>
      <c r="O73" s="8">
        <f t="shared" si="72"/>
        <v>590000</v>
      </c>
      <c r="P73" s="8">
        <f t="shared" si="72"/>
        <v>5900000</v>
      </c>
    </row>
    <row r="74" spans="1:16" x14ac:dyDescent="0.25">
      <c r="A74">
        <v>6.04</v>
      </c>
      <c r="B74" s="1">
        <v>1000</v>
      </c>
      <c r="D74" s="8">
        <v>1620000</v>
      </c>
      <c r="E74" s="1">
        <v>9100</v>
      </c>
      <c r="F74" s="1"/>
      <c r="G74" s="1"/>
      <c r="H74" s="1"/>
      <c r="J74">
        <f t="shared" si="65"/>
        <v>6.04</v>
      </c>
      <c r="K74">
        <v>60.4</v>
      </c>
      <c r="L74">
        <f t="shared" ref="L74:P74" si="73">K74*10</f>
        <v>604</v>
      </c>
      <c r="M74">
        <f t="shared" si="73"/>
        <v>6040</v>
      </c>
      <c r="N74">
        <f t="shared" si="73"/>
        <v>60400</v>
      </c>
      <c r="O74" s="8">
        <f t="shared" si="73"/>
        <v>604000</v>
      </c>
      <c r="P74" s="8">
        <f t="shared" si="73"/>
        <v>6040000</v>
      </c>
    </row>
    <row r="75" spans="1:16" x14ac:dyDescent="0.25">
      <c r="A75">
        <v>6.1899999999999995</v>
      </c>
      <c r="B75" s="1">
        <v>1100</v>
      </c>
      <c r="D75" s="8">
        <v>1580000</v>
      </c>
      <c r="E75" s="1">
        <v>8200</v>
      </c>
      <c r="F75" s="1"/>
      <c r="G75" s="1"/>
      <c r="H75" s="1"/>
      <c r="J75">
        <f t="shared" si="65"/>
        <v>6.1899999999999995</v>
      </c>
      <c r="K75">
        <v>61.9</v>
      </c>
      <c r="L75">
        <f t="shared" ref="L75:P75" si="74">K75*10</f>
        <v>619</v>
      </c>
      <c r="M75">
        <f t="shared" si="74"/>
        <v>6190</v>
      </c>
      <c r="N75">
        <f t="shared" si="74"/>
        <v>61900</v>
      </c>
      <c r="O75" s="8">
        <f t="shared" si="74"/>
        <v>619000</v>
      </c>
      <c r="P75" s="8">
        <f t="shared" si="74"/>
        <v>6190000</v>
      </c>
    </row>
    <row r="76" spans="1:16" x14ac:dyDescent="0.25">
      <c r="A76">
        <v>6.34</v>
      </c>
      <c r="B76" s="1">
        <v>1200</v>
      </c>
      <c r="D76" s="8">
        <v>1540000</v>
      </c>
      <c r="E76" s="1">
        <v>7500</v>
      </c>
      <c r="F76" s="1"/>
      <c r="G76" s="1"/>
      <c r="H76" s="1"/>
      <c r="J76">
        <f t="shared" si="65"/>
        <v>6.34</v>
      </c>
      <c r="K76">
        <v>63.4</v>
      </c>
      <c r="L76">
        <f t="shared" ref="L76:P76" si="75">K76*10</f>
        <v>634</v>
      </c>
      <c r="M76">
        <f t="shared" si="75"/>
        <v>6340</v>
      </c>
      <c r="N76">
        <f t="shared" si="75"/>
        <v>63400</v>
      </c>
      <c r="O76" s="8">
        <f t="shared" si="75"/>
        <v>634000</v>
      </c>
      <c r="P76" s="8">
        <f t="shared" si="75"/>
        <v>6340000</v>
      </c>
    </row>
    <row r="77" spans="1:16" x14ac:dyDescent="0.25">
      <c r="A77">
        <v>6.49</v>
      </c>
      <c r="B77" s="1">
        <v>1300</v>
      </c>
      <c r="D77" s="8">
        <v>1500000</v>
      </c>
      <c r="E77" s="1">
        <v>6800</v>
      </c>
      <c r="F77" s="1"/>
      <c r="G77" s="1"/>
      <c r="H77" s="1"/>
      <c r="J77">
        <f t="shared" si="65"/>
        <v>6.49</v>
      </c>
      <c r="K77">
        <v>64.900000000000006</v>
      </c>
      <c r="L77">
        <f t="shared" ref="L77:P77" si="76">K77*10</f>
        <v>649</v>
      </c>
      <c r="M77">
        <f t="shared" si="76"/>
        <v>6490</v>
      </c>
      <c r="N77">
        <f t="shared" si="76"/>
        <v>64900</v>
      </c>
      <c r="O77" s="8">
        <f t="shared" si="76"/>
        <v>649000</v>
      </c>
      <c r="P77" s="8">
        <f t="shared" si="76"/>
        <v>6490000</v>
      </c>
    </row>
    <row r="78" spans="1:16" x14ac:dyDescent="0.25">
      <c r="A78">
        <v>6.65</v>
      </c>
      <c r="B78" s="1">
        <v>1500</v>
      </c>
      <c r="D78" s="8">
        <v>1470000</v>
      </c>
      <c r="E78" s="1">
        <v>6200</v>
      </c>
      <c r="F78" s="1"/>
      <c r="G78" s="1"/>
      <c r="H78" s="1"/>
      <c r="J78">
        <f t="shared" si="65"/>
        <v>6.65</v>
      </c>
      <c r="K78">
        <v>66.5</v>
      </c>
      <c r="L78">
        <f t="shared" ref="L78:P78" si="77">K78*10</f>
        <v>665</v>
      </c>
      <c r="M78">
        <f t="shared" si="77"/>
        <v>6650</v>
      </c>
      <c r="N78">
        <f t="shared" si="77"/>
        <v>66500</v>
      </c>
      <c r="O78" s="8">
        <f t="shared" si="77"/>
        <v>665000</v>
      </c>
      <c r="P78" s="8">
        <f t="shared" si="77"/>
        <v>6650000</v>
      </c>
    </row>
    <row r="79" spans="1:16" x14ac:dyDescent="0.25">
      <c r="A79">
        <v>6.81</v>
      </c>
      <c r="B79" s="1">
        <v>1600</v>
      </c>
      <c r="D79" s="8">
        <v>1430000</v>
      </c>
      <c r="E79" s="1">
        <v>5600</v>
      </c>
      <c r="F79" s="1"/>
      <c r="G79" s="1"/>
      <c r="H79" s="1"/>
      <c r="J79">
        <f t="shared" si="65"/>
        <v>6.81</v>
      </c>
      <c r="K79">
        <v>68.099999999999994</v>
      </c>
      <c r="L79">
        <f t="shared" ref="L79:P79" si="78">K79*10</f>
        <v>681</v>
      </c>
      <c r="M79">
        <f t="shared" si="78"/>
        <v>6810</v>
      </c>
      <c r="N79">
        <f t="shared" si="78"/>
        <v>68100</v>
      </c>
      <c r="O79" s="8">
        <f t="shared" si="78"/>
        <v>681000</v>
      </c>
      <c r="P79" s="8">
        <f t="shared" si="78"/>
        <v>6810000</v>
      </c>
    </row>
    <row r="80" spans="1:16" x14ac:dyDescent="0.25">
      <c r="A80">
        <v>6.9799999999999995</v>
      </c>
      <c r="B80" s="1">
        <v>1800</v>
      </c>
      <c r="D80" s="8">
        <v>1400000</v>
      </c>
      <c r="E80" s="1">
        <v>5100</v>
      </c>
      <c r="F80" s="1"/>
      <c r="G80" s="1"/>
      <c r="H80" s="1"/>
      <c r="J80">
        <f t="shared" si="65"/>
        <v>6.9799999999999995</v>
      </c>
      <c r="K80">
        <v>69.8</v>
      </c>
      <c r="L80">
        <f t="shared" ref="L80:P80" si="79">K80*10</f>
        <v>698</v>
      </c>
      <c r="M80">
        <f t="shared" si="79"/>
        <v>6980</v>
      </c>
      <c r="N80">
        <f t="shared" si="79"/>
        <v>69800</v>
      </c>
      <c r="O80" s="8">
        <f t="shared" si="79"/>
        <v>698000</v>
      </c>
      <c r="P80" s="8">
        <f t="shared" si="79"/>
        <v>6980000</v>
      </c>
    </row>
    <row r="81" spans="1:16" x14ac:dyDescent="0.25">
      <c r="A81">
        <v>7.15</v>
      </c>
      <c r="B81" s="1">
        <v>2000</v>
      </c>
      <c r="D81" s="8">
        <v>1370000</v>
      </c>
      <c r="E81" s="1">
        <v>4700</v>
      </c>
      <c r="F81" s="1"/>
      <c r="G81" s="1"/>
      <c r="H81" s="1"/>
      <c r="J81">
        <f t="shared" si="65"/>
        <v>7.15</v>
      </c>
      <c r="K81">
        <v>71.5</v>
      </c>
      <c r="L81">
        <f t="shared" ref="L81:P81" si="80">K81*10</f>
        <v>715</v>
      </c>
      <c r="M81">
        <f t="shared" si="80"/>
        <v>7150</v>
      </c>
      <c r="N81">
        <f t="shared" si="80"/>
        <v>71500</v>
      </c>
      <c r="O81" s="8">
        <f t="shared" si="80"/>
        <v>715000</v>
      </c>
      <c r="P81" s="8">
        <f t="shared" si="80"/>
        <v>7150000</v>
      </c>
    </row>
    <row r="82" spans="1:16" x14ac:dyDescent="0.25">
      <c r="A82">
        <v>7.32</v>
      </c>
      <c r="B82" s="1">
        <v>2200</v>
      </c>
      <c r="D82" s="8">
        <v>1330000</v>
      </c>
      <c r="E82" s="1">
        <v>4300</v>
      </c>
      <c r="F82" s="1"/>
      <c r="G82" s="1"/>
      <c r="H82" s="1"/>
      <c r="J82">
        <f t="shared" si="65"/>
        <v>7.32</v>
      </c>
      <c r="K82">
        <v>73.2</v>
      </c>
      <c r="L82">
        <f t="shared" ref="L82:P82" si="81">K82*10</f>
        <v>732</v>
      </c>
      <c r="M82">
        <f t="shared" si="81"/>
        <v>7320</v>
      </c>
      <c r="N82">
        <f t="shared" si="81"/>
        <v>73200</v>
      </c>
      <c r="O82" s="8">
        <f t="shared" si="81"/>
        <v>732000</v>
      </c>
      <c r="P82" s="8">
        <f t="shared" si="81"/>
        <v>7320000</v>
      </c>
    </row>
    <row r="83" spans="1:16" x14ac:dyDescent="0.25">
      <c r="A83">
        <v>7.5</v>
      </c>
      <c r="B83" s="1">
        <v>2400</v>
      </c>
      <c r="D83" s="8">
        <v>1300000</v>
      </c>
      <c r="E83" s="1">
        <v>3900</v>
      </c>
      <c r="F83" s="1"/>
      <c r="G83" s="1"/>
      <c r="H83" s="1"/>
      <c r="J83">
        <f t="shared" si="65"/>
        <v>7.5</v>
      </c>
      <c r="K83">
        <v>75</v>
      </c>
      <c r="L83">
        <f t="shared" ref="L83:P83" si="82">K83*10</f>
        <v>750</v>
      </c>
      <c r="M83">
        <f t="shared" si="82"/>
        <v>7500</v>
      </c>
      <c r="N83">
        <f t="shared" si="82"/>
        <v>75000</v>
      </c>
      <c r="O83" s="8">
        <f t="shared" si="82"/>
        <v>750000</v>
      </c>
      <c r="P83" s="8">
        <f t="shared" si="82"/>
        <v>7500000</v>
      </c>
    </row>
    <row r="84" spans="1:16" x14ac:dyDescent="0.25">
      <c r="A84">
        <v>7.68</v>
      </c>
      <c r="B84" s="1">
        <v>2700</v>
      </c>
      <c r="D84" s="8">
        <v>1270000</v>
      </c>
      <c r="E84" s="1">
        <v>3600</v>
      </c>
      <c r="F84" s="1"/>
      <c r="G84" s="1"/>
      <c r="H84" s="1"/>
      <c r="J84">
        <f t="shared" si="65"/>
        <v>7.68</v>
      </c>
      <c r="K84">
        <v>76.8</v>
      </c>
      <c r="L84">
        <f t="shared" ref="L84:P84" si="83">K84*10</f>
        <v>768</v>
      </c>
      <c r="M84">
        <f t="shared" si="83"/>
        <v>7680</v>
      </c>
      <c r="N84">
        <f t="shared" si="83"/>
        <v>76800</v>
      </c>
      <c r="O84" s="8">
        <f t="shared" si="83"/>
        <v>768000</v>
      </c>
      <c r="P84" s="8">
        <f t="shared" si="83"/>
        <v>7680000</v>
      </c>
    </row>
    <row r="85" spans="1:16" x14ac:dyDescent="0.25">
      <c r="A85">
        <v>7.87</v>
      </c>
      <c r="B85" s="1">
        <v>3000</v>
      </c>
      <c r="D85" s="8">
        <v>1240000</v>
      </c>
      <c r="E85" s="1">
        <v>3300</v>
      </c>
      <c r="F85" s="1"/>
      <c r="G85" s="1"/>
      <c r="H85" s="1"/>
      <c r="J85">
        <f t="shared" si="65"/>
        <v>7.87</v>
      </c>
      <c r="K85">
        <v>78.7</v>
      </c>
      <c r="L85">
        <f t="shared" ref="L85:P85" si="84">K85*10</f>
        <v>787</v>
      </c>
      <c r="M85">
        <f t="shared" si="84"/>
        <v>7870</v>
      </c>
      <c r="N85">
        <f t="shared" si="84"/>
        <v>78700</v>
      </c>
      <c r="O85" s="8">
        <f t="shared" si="84"/>
        <v>787000</v>
      </c>
      <c r="P85" s="8">
        <f t="shared" si="84"/>
        <v>7870000</v>
      </c>
    </row>
    <row r="86" spans="1:16" x14ac:dyDescent="0.25">
      <c r="A86">
        <v>8.0599999999999987</v>
      </c>
      <c r="B86" s="1">
        <v>3300</v>
      </c>
      <c r="D86" s="8">
        <v>1210000</v>
      </c>
      <c r="E86" s="1">
        <v>3000</v>
      </c>
      <c r="F86" s="1"/>
      <c r="G86" s="1"/>
      <c r="H86" s="1"/>
      <c r="J86">
        <f t="shared" si="65"/>
        <v>8.0599999999999987</v>
      </c>
      <c r="K86">
        <v>80.599999999999994</v>
      </c>
      <c r="L86">
        <f t="shared" ref="L86:P86" si="85">K86*10</f>
        <v>806</v>
      </c>
      <c r="M86">
        <f t="shared" si="85"/>
        <v>8060</v>
      </c>
      <c r="N86">
        <f t="shared" si="85"/>
        <v>80600</v>
      </c>
      <c r="O86" s="8">
        <f t="shared" si="85"/>
        <v>806000</v>
      </c>
      <c r="P86" s="8">
        <f t="shared" si="85"/>
        <v>8060000</v>
      </c>
    </row>
    <row r="87" spans="1:16" x14ac:dyDescent="0.25">
      <c r="A87">
        <v>8.25</v>
      </c>
      <c r="B87" s="1">
        <v>3600</v>
      </c>
      <c r="D87" s="8">
        <v>1180000</v>
      </c>
      <c r="E87" s="1">
        <v>2700</v>
      </c>
      <c r="F87" s="1"/>
      <c r="G87" s="1"/>
      <c r="H87" s="1"/>
      <c r="J87">
        <f t="shared" si="65"/>
        <v>8.25</v>
      </c>
      <c r="K87">
        <v>82.5</v>
      </c>
      <c r="L87">
        <f t="shared" ref="L87:P87" si="86">K87*10</f>
        <v>825</v>
      </c>
      <c r="M87">
        <f t="shared" si="86"/>
        <v>8250</v>
      </c>
      <c r="N87">
        <f t="shared" si="86"/>
        <v>82500</v>
      </c>
      <c r="O87" s="8">
        <f t="shared" si="86"/>
        <v>825000</v>
      </c>
      <c r="P87" s="8">
        <f t="shared" si="86"/>
        <v>8250000</v>
      </c>
    </row>
    <row r="88" spans="1:16" x14ac:dyDescent="0.25">
      <c r="A88">
        <v>8.4499999999999993</v>
      </c>
      <c r="B88" s="1">
        <v>3900</v>
      </c>
      <c r="D88" s="8">
        <v>1150000</v>
      </c>
      <c r="E88" s="1">
        <v>2400</v>
      </c>
      <c r="F88" s="1"/>
      <c r="G88" s="1"/>
      <c r="H88" s="1"/>
      <c r="J88">
        <f t="shared" si="65"/>
        <v>8.4499999999999993</v>
      </c>
      <c r="K88">
        <v>84.5</v>
      </c>
      <c r="L88">
        <f t="shared" ref="L88:P88" si="87">K88*10</f>
        <v>845</v>
      </c>
      <c r="M88">
        <f t="shared" si="87"/>
        <v>8450</v>
      </c>
      <c r="N88">
        <f t="shared" si="87"/>
        <v>84500</v>
      </c>
      <c r="O88" s="8">
        <f t="shared" si="87"/>
        <v>845000</v>
      </c>
      <c r="P88" s="8">
        <f t="shared" si="87"/>
        <v>8450000</v>
      </c>
    </row>
    <row r="89" spans="1:16" x14ac:dyDescent="0.25">
      <c r="A89">
        <v>8.66</v>
      </c>
      <c r="B89" s="1">
        <v>4300</v>
      </c>
      <c r="D89" s="8">
        <v>1130000</v>
      </c>
      <c r="E89" s="1">
        <v>2200</v>
      </c>
      <c r="F89" s="1"/>
      <c r="G89" s="1"/>
      <c r="H89" s="1"/>
      <c r="J89">
        <f t="shared" si="65"/>
        <v>8.66</v>
      </c>
      <c r="K89">
        <v>86.6</v>
      </c>
      <c r="L89">
        <f t="shared" ref="L89:P89" si="88">K89*10</f>
        <v>866</v>
      </c>
      <c r="M89">
        <f t="shared" si="88"/>
        <v>8660</v>
      </c>
      <c r="N89">
        <f t="shared" si="88"/>
        <v>86600</v>
      </c>
      <c r="O89" s="8">
        <f t="shared" si="88"/>
        <v>866000</v>
      </c>
      <c r="P89" s="8">
        <f t="shared" si="88"/>
        <v>8660000</v>
      </c>
    </row>
    <row r="90" spans="1:16" x14ac:dyDescent="0.25">
      <c r="A90">
        <v>8.870000000000001</v>
      </c>
      <c r="B90" s="1">
        <v>4700</v>
      </c>
      <c r="D90" s="8">
        <v>1100000</v>
      </c>
      <c r="E90" s="1">
        <v>2000</v>
      </c>
      <c r="F90" s="1"/>
      <c r="G90" s="1"/>
      <c r="H90" s="1"/>
      <c r="J90">
        <f t="shared" si="65"/>
        <v>8.870000000000001</v>
      </c>
      <c r="K90">
        <v>88.7</v>
      </c>
      <c r="L90">
        <f t="shared" ref="L90:P90" si="89">K90*10</f>
        <v>887</v>
      </c>
      <c r="M90">
        <f t="shared" si="89"/>
        <v>8870</v>
      </c>
      <c r="N90">
        <f t="shared" si="89"/>
        <v>88700</v>
      </c>
      <c r="O90" s="8">
        <f t="shared" si="89"/>
        <v>887000</v>
      </c>
      <c r="P90" s="8">
        <f t="shared" si="89"/>
        <v>8870000</v>
      </c>
    </row>
    <row r="91" spans="1:16" x14ac:dyDescent="0.25">
      <c r="A91">
        <v>9.09</v>
      </c>
      <c r="B91" s="1">
        <v>5100</v>
      </c>
      <c r="D91" s="8">
        <v>1070000</v>
      </c>
      <c r="E91" s="1">
        <v>1800</v>
      </c>
      <c r="F91" s="1"/>
      <c r="G91" s="1"/>
      <c r="H91" s="1"/>
      <c r="J91">
        <f t="shared" si="65"/>
        <v>9.09</v>
      </c>
      <c r="K91">
        <v>90.9</v>
      </c>
      <c r="L91">
        <f t="shared" ref="L91:P91" si="90">K91*10</f>
        <v>909</v>
      </c>
      <c r="M91">
        <f t="shared" si="90"/>
        <v>9090</v>
      </c>
      <c r="N91">
        <f t="shared" si="90"/>
        <v>90900</v>
      </c>
      <c r="O91" s="8">
        <f t="shared" si="90"/>
        <v>909000</v>
      </c>
      <c r="P91" s="8">
        <f t="shared" si="90"/>
        <v>9090000</v>
      </c>
    </row>
    <row r="92" spans="1:16" x14ac:dyDescent="0.25">
      <c r="A92">
        <v>9.3099999999999987</v>
      </c>
      <c r="B92" s="1">
        <v>5600</v>
      </c>
      <c r="D92" s="8">
        <v>1050000</v>
      </c>
      <c r="E92" s="1">
        <v>1600</v>
      </c>
      <c r="F92" s="1"/>
      <c r="G92" s="1"/>
      <c r="H92" s="1"/>
      <c r="J92">
        <f t="shared" si="65"/>
        <v>9.3099999999999987</v>
      </c>
      <c r="K92">
        <v>93.1</v>
      </c>
      <c r="L92">
        <f t="shared" ref="L92:P92" si="91">K92*10</f>
        <v>931</v>
      </c>
      <c r="M92">
        <f t="shared" si="91"/>
        <v>9310</v>
      </c>
      <c r="N92">
        <f t="shared" si="91"/>
        <v>93100</v>
      </c>
      <c r="O92" s="8">
        <f t="shared" si="91"/>
        <v>931000</v>
      </c>
      <c r="P92" s="8">
        <f t="shared" si="91"/>
        <v>9310000</v>
      </c>
    </row>
    <row r="93" spans="1:16" x14ac:dyDescent="0.25">
      <c r="A93">
        <v>9.5299999999999994</v>
      </c>
      <c r="B93" s="1">
        <v>6200</v>
      </c>
      <c r="D93" s="8">
        <v>1020000</v>
      </c>
      <c r="E93" s="1">
        <v>1500</v>
      </c>
      <c r="F93" s="1"/>
      <c r="G93" s="1"/>
      <c r="H93" s="1"/>
      <c r="J93">
        <f t="shared" si="65"/>
        <v>9.5299999999999994</v>
      </c>
      <c r="K93">
        <v>95.3</v>
      </c>
      <c r="L93">
        <f t="shared" ref="L93:P93" si="92">K93*10</f>
        <v>953</v>
      </c>
      <c r="M93">
        <f t="shared" si="92"/>
        <v>9530</v>
      </c>
      <c r="N93">
        <f t="shared" si="92"/>
        <v>95300</v>
      </c>
      <c r="O93" s="8">
        <f t="shared" si="92"/>
        <v>953000</v>
      </c>
      <c r="P93" s="8">
        <f t="shared" si="92"/>
        <v>9530000</v>
      </c>
    </row>
    <row r="94" spans="1:16" x14ac:dyDescent="0.25">
      <c r="A94">
        <v>9.76</v>
      </c>
      <c r="B94" s="1">
        <v>6800</v>
      </c>
      <c r="D94" s="8">
        <v>1000000</v>
      </c>
      <c r="E94" s="1">
        <v>1300</v>
      </c>
      <c r="F94" s="1"/>
      <c r="G94" s="1"/>
      <c r="H94" s="1"/>
      <c r="J94">
        <f t="shared" si="65"/>
        <v>9.76</v>
      </c>
      <c r="K94">
        <v>97.6</v>
      </c>
      <c r="L94">
        <f t="shared" ref="L94:P94" si="93">K94*10</f>
        <v>976</v>
      </c>
      <c r="M94">
        <f t="shared" si="93"/>
        <v>9760</v>
      </c>
      <c r="N94">
        <f t="shared" si="93"/>
        <v>97600</v>
      </c>
      <c r="O94" s="8">
        <f t="shared" si="93"/>
        <v>976000</v>
      </c>
      <c r="P94" s="8">
        <f t="shared" si="93"/>
        <v>9760000</v>
      </c>
    </row>
    <row r="95" spans="1:16" x14ac:dyDescent="0.25">
      <c r="A95" s="1">
        <v>10</v>
      </c>
      <c r="B95" s="1">
        <v>7500</v>
      </c>
      <c r="D95" s="8">
        <v>976000</v>
      </c>
      <c r="E95" s="1">
        <v>1200</v>
      </c>
      <c r="F95" s="1"/>
      <c r="G95" s="1"/>
      <c r="H95" s="1"/>
    </row>
    <row r="96" spans="1:16" x14ac:dyDescent="0.25">
      <c r="A96" s="1">
        <v>10.199999999999999</v>
      </c>
      <c r="B96" s="1">
        <v>8200</v>
      </c>
      <c r="D96" s="8">
        <v>953000</v>
      </c>
      <c r="E96" s="1">
        <v>1100</v>
      </c>
      <c r="F96" s="1"/>
      <c r="G96" s="1"/>
      <c r="H96" s="1"/>
    </row>
    <row r="97" spans="1:8" x14ac:dyDescent="0.25">
      <c r="A97" s="1">
        <v>10.5</v>
      </c>
      <c r="B97" s="1">
        <v>9100</v>
      </c>
      <c r="D97" s="8">
        <v>931000</v>
      </c>
      <c r="E97" s="1">
        <v>1000</v>
      </c>
      <c r="F97" s="1"/>
      <c r="G97" s="1"/>
      <c r="H97" s="1"/>
    </row>
    <row r="98" spans="1:8" x14ac:dyDescent="0.25">
      <c r="A98" s="1">
        <v>10.7</v>
      </c>
      <c r="B98" s="1">
        <v>10000</v>
      </c>
      <c r="D98" s="8">
        <v>909000</v>
      </c>
      <c r="E98" s="1">
        <v>910</v>
      </c>
      <c r="F98" s="1"/>
      <c r="G98" s="1"/>
      <c r="H98" s="1"/>
    </row>
    <row r="99" spans="1:8" x14ac:dyDescent="0.25">
      <c r="A99" s="1">
        <v>11</v>
      </c>
      <c r="B99" s="1">
        <v>11000</v>
      </c>
      <c r="D99" s="8">
        <v>887000</v>
      </c>
      <c r="E99" s="1">
        <v>820</v>
      </c>
      <c r="F99" s="1"/>
      <c r="G99" s="1"/>
      <c r="H99" s="1"/>
    </row>
    <row r="100" spans="1:8" x14ac:dyDescent="0.25">
      <c r="A100" s="1">
        <v>11.3</v>
      </c>
      <c r="B100" s="1">
        <v>12000</v>
      </c>
      <c r="D100" s="8">
        <v>866000</v>
      </c>
      <c r="E100" s="1">
        <v>750</v>
      </c>
      <c r="F100" s="1"/>
      <c r="G100" s="1"/>
      <c r="H100" s="1"/>
    </row>
    <row r="101" spans="1:8" x14ac:dyDescent="0.25">
      <c r="A101" s="1">
        <v>11.5</v>
      </c>
      <c r="B101" s="1">
        <v>13000</v>
      </c>
      <c r="D101" s="8">
        <v>845000</v>
      </c>
      <c r="E101" s="1">
        <v>680</v>
      </c>
      <c r="F101" s="1"/>
      <c r="G101" s="1"/>
      <c r="H101" s="1"/>
    </row>
    <row r="102" spans="1:8" x14ac:dyDescent="0.25">
      <c r="A102" s="1">
        <v>11.8</v>
      </c>
      <c r="B102" s="1">
        <v>15000</v>
      </c>
      <c r="D102" s="8">
        <v>825000</v>
      </c>
      <c r="E102" s="1">
        <v>620</v>
      </c>
      <c r="F102" s="1"/>
      <c r="G102" s="1"/>
      <c r="H102" s="1"/>
    </row>
    <row r="103" spans="1:8" x14ac:dyDescent="0.25">
      <c r="A103" s="1">
        <v>12.1</v>
      </c>
      <c r="B103" s="1">
        <v>16000</v>
      </c>
      <c r="D103" s="8">
        <v>806000</v>
      </c>
      <c r="E103" s="1">
        <v>560</v>
      </c>
      <c r="F103" s="1"/>
      <c r="G103" s="1"/>
      <c r="H103" s="1"/>
    </row>
    <row r="104" spans="1:8" x14ac:dyDescent="0.25">
      <c r="A104" s="1">
        <v>12.4</v>
      </c>
      <c r="B104" s="1">
        <v>18000</v>
      </c>
      <c r="D104" s="8">
        <v>787000</v>
      </c>
      <c r="E104" s="1">
        <v>510</v>
      </c>
      <c r="F104" s="1"/>
      <c r="G104" s="1"/>
      <c r="H104" s="1"/>
    </row>
    <row r="105" spans="1:8" x14ac:dyDescent="0.25">
      <c r="A105" s="1">
        <v>12.7</v>
      </c>
      <c r="B105" s="1">
        <v>20000</v>
      </c>
      <c r="D105" s="8">
        <v>768000</v>
      </c>
      <c r="E105" s="1">
        <v>470</v>
      </c>
      <c r="F105" s="1"/>
      <c r="G105" s="1"/>
      <c r="H105" s="1"/>
    </row>
    <row r="106" spans="1:8" x14ac:dyDescent="0.25">
      <c r="A106" s="1">
        <v>13</v>
      </c>
      <c r="B106" s="1">
        <v>22000</v>
      </c>
      <c r="D106" s="8">
        <v>750000</v>
      </c>
      <c r="E106" s="1">
        <v>430</v>
      </c>
      <c r="F106" s="1"/>
      <c r="G106" s="1"/>
      <c r="H106" s="1"/>
    </row>
    <row r="107" spans="1:8" x14ac:dyDescent="0.25">
      <c r="A107" s="1">
        <v>13.3</v>
      </c>
      <c r="B107" s="1">
        <v>24000</v>
      </c>
      <c r="D107" s="8">
        <v>732000</v>
      </c>
      <c r="E107" s="1">
        <v>390</v>
      </c>
      <c r="F107" s="1"/>
      <c r="G107" s="1"/>
      <c r="H107" s="1"/>
    </row>
    <row r="108" spans="1:8" x14ac:dyDescent="0.25">
      <c r="A108" s="1">
        <v>13.7</v>
      </c>
      <c r="B108" s="1">
        <v>27000</v>
      </c>
      <c r="D108" s="8">
        <v>715000</v>
      </c>
      <c r="E108" s="1">
        <v>360</v>
      </c>
      <c r="F108" s="1"/>
      <c r="G108" s="1"/>
      <c r="H108" s="1"/>
    </row>
    <row r="109" spans="1:8" x14ac:dyDescent="0.25">
      <c r="A109" s="1">
        <v>14</v>
      </c>
      <c r="B109" s="1">
        <v>30000</v>
      </c>
      <c r="D109" s="8">
        <v>698000</v>
      </c>
      <c r="E109" s="1">
        <v>330</v>
      </c>
      <c r="F109" s="1"/>
      <c r="G109" s="1"/>
      <c r="H109" s="1"/>
    </row>
    <row r="110" spans="1:8" x14ac:dyDescent="0.25">
      <c r="A110" s="1">
        <v>14.3</v>
      </c>
      <c r="B110" s="1">
        <v>33000</v>
      </c>
      <c r="D110" s="8">
        <v>681000</v>
      </c>
      <c r="E110" s="1">
        <v>300</v>
      </c>
      <c r="F110" s="1"/>
      <c r="G110" s="1"/>
      <c r="H110" s="1"/>
    </row>
    <row r="111" spans="1:8" x14ac:dyDescent="0.25">
      <c r="A111" s="1">
        <v>14.7</v>
      </c>
      <c r="B111" s="1">
        <v>36000</v>
      </c>
      <c r="D111" s="8">
        <v>665000</v>
      </c>
      <c r="E111" s="1">
        <v>270</v>
      </c>
      <c r="F111" s="1"/>
      <c r="G111" s="1"/>
      <c r="H111" s="1"/>
    </row>
    <row r="112" spans="1:8" x14ac:dyDescent="0.25">
      <c r="A112" s="1">
        <v>15</v>
      </c>
      <c r="B112" s="1">
        <v>39000</v>
      </c>
      <c r="D112" s="8">
        <v>649000</v>
      </c>
      <c r="E112" s="1">
        <v>240</v>
      </c>
      <c r="F112" s="1"/>
      <c r="G112" s="1"/>
      <c r="H112" s="1"/>
    </row>
    <row r="113" spans="1:8" x14ac:dyDescent="0.25">
      <c r="A113" s="1">
        <v>15.4</v>
      </c>
      <c r="B113" s="1">
        <v>43000</v>
      </c>
      <c r="D113" s="8">
        <v>634000</v>
      </c>
      <c r="E113" s="1">
        <v>220</v>
      </c>
      <c r="F113" s="1"/>
      <c r="G113" s="1"/>
      <c r="H113" s="1"/>
    </row>
    <row r="114" spans="1:8" x14ac:dyDescent="0.25">
      <c r="A114" s="1">
        <v>15.8</v>
      </c>
      <c r="B114" s="1">
        <v>47000</v>
      </c>
      <c r="D114" s="8">
        <v>619000</v>
      </c>
      <c r="E114" s="1">
        <v>200</v>
      </c>
      <c r="F114" s="1"/>
      <c r="G114" s="1"/>
      <c r="H114" s="1"/>
    </row>
    <row r="115" spans="1:8" x14ac:dyDescent="0.25">
      <c r="A115" s="1">
        <v>16.2</v>
      </c>
      <c r="B115" s="1">
        <v>51000</v>
      </c>
      <c r="D115" s="8">
        <v>604000</v>
      </c>
      <c r="E115" s="1">
        <v>180</v>
      </c>
      <c r="F115" s="1"/>
      <c r="G115" s="1"/>
      <c r="H115" s="1"/>
    </row>
    <row r="116" spans="1:8" x14ac:dyDescent="0.25">
      <c r="A116" s="1">
        <v>16.5</v>
      </c>
      <c r="B116" s="1">
        <v>56000</v>
      </c>
      <c r="D116" s="8">
        <v>590000</v>
      </c>
      <c r="E116" s="1">
        <v>160</v>
      </c>
      <c r="F116" s="1"/>
      <c r="G116" s="1"/>
      <c r="H116" s="1"/>
    </row>
    <row r="117" spans="1:8" x14ac:dyDescent="0.25">
      <c r="A117" s="1">
        <v>16.899999999999999</v>
      </c>
      <c r="B117" s="1">
        <v>62000</v>
      </c>
      <c r="D117" s="8">
        <v>576000</v>
      </c>
      <c r="E117" s="1">
        <v>150</v>
      </c>
      <c r="F117" s="1"/>
      <c r="G117" s="1"/>
      <c r="H117" s="1"/>
    </row>
    <row r="118" spans="1:8" x14ac:dyDescent="0.25">
      <c r="A118" s="1">
        <v>17.399999999999999</v>
      </c>
      <c r="B118" s="1">
        <v>68000</v>
      </c>
      <c r="D118" s="8">
        <v>562000</v>
      </c>
      <c r="E118" s="1">
        <v>130</v>
      </c>
      <c r="F118" s="1"/>
      <c r="G118" s="1"/>
      <c r="H118" s="1"/>
    </row>
    <row r="119" spans="1:8" x14ac:dyDescent="0.25">
      <c r="A119" s="1">
        <v>18.2</v>
      </c>
      <c r="B119" s="1">
        <v>75000</v>
      </c>
      <c r="D119" s="8">
        <v>549000</v>
      </c>
      <c r="E119" s="1">
        <v>120</v>
      </c>
      <c r="F119" s="1"/>
      <c r="G119" s="1"/>
      <c r="H119" s="1"/>
    </row>
    <row r="120" spans="1:8" x14ac:dyDescent="0.25">
      <c r="A120" s="1">
        <v>19.600000000000001</v>
      </c>
      <c r="B120" s="1">
        <v>82000</v>
      </c>
      <c r="D120" s="8">
        <v>536000</v>
      </c>
      <c r="E120" s="1">
        <v>110</v>
      </c>
      <c r="F120" s="1"/>
      <c r="G120" s="1"/>
      <c r="H120" s="1"/>
    </row>
    <row r="121" spans="1:8" x14ac:dyDescent="0.25">
      <c r="A121" s="1">
        <v>20</v>
      </c>
      <c r="B121" s="1">
        <v>91000</v>
      </c>
      <c r="D121" s="8">
        <v>523000</v>
      </c>
      <c r="E121" s="1">
        <v>100</v>
      </c>
      <c r="F121" s="1"/>
      <c r="G121" s="1"/>
      <c r="H121" s="1"/>
    </row>
    <row r="122" spans="1:8" x14ac:dyDescent="0.25">
      <c r="A122" s="1">
        <v>20.5</v>
      </c>
      <c r="B122" s="1">
        <v>100000</v>
      </c>
      <c r="D122" s="8">
        <v>511000</v>
      </c>
      <c r="E122" s="1">
        <v>91</v>
      </c>
      <c r="F122" s="1"/>
      <c r="G122" s="1"/>
      <c r="H122" s="1"/>
    </row>
    <row r="123" spans="1:8" x14ac:dyDescent="0.25">
      <c r="A123" s="1">
        <v>21</v>
      </c>
      <c r="B123" s="1">
        <v>110000</v>
      </c>
      <c r="D123" s="8">
        <v>499000</v>
      </c>
      <c r="E123" s="1">
        <v>82</v>
      </c>
      <c r="F123" s="1"/>
      <c r="G123" s="1"/>
      <c r="H123" s="1"/>
    </row>
    <row r="124" spans="1:8" x14ac:dyDescent="0.25">
      <c r="A124" s="1">
        <v>21.5</v>
      </c>
      <c r="B124" s="1">
        <v>120000</v>
      </c>
      <c r="D124" s="8">
        <v>487000</v>
      </c>
      <c r="E124" s="1">
        <v>75</v>
      </c>
      <c r="F124" s="1"/>
      <c r="G124" s="1"/>
      <c r="H124" s="1"/>
    </row>
    <row r="125" spans="1:8" x14ac:dyDescent="0.25">
      <c r="A125" s="1">
        <v>22.1</v>
      </c>
      <c r="B125" s="1">
        <v>130000</v>
      </c>
      <c r="D125" s="8">
        <v>475000</v>
      </c>
      <c r="E125" s="1">
        <v>68</v>
      </c>
      <c r="F125" s="1"/>
      <c r="G125" s="1"/>
      <c r="H125" s="1"/>
    </row>
    <row r="126" spans="1:8" x14ac:dyDescent="0.25">
      <c r="A126" s="1">
        <v>22.6</v>
      </c>
      <c r="B126" s="1">
        <v>150000</v>
      </c>
      <c r="D126" s="8">
        <v>464000</v>
      </c>
      <c r="E126" s="1">
        <v>62</v>
      </c>
      <c r="F126" s="1"/>
      <c r="G126" s="1"/>
      <c r="H126" s="1"/>
    </row>
    <row r="127" spans="1:8" x14ac:dyDescent="0.25">
      <c r="A127" s="1">
        <v>23.2</v>
      </c>
      <c r="B127" s="1">
        <v>160000</v>
      </c>
      <c r="D127" s="8">
        <v>452000</v>
      </c>
      <c r="E127" s="1">
        <v>56</v>
      </c>
      <c r="F127" s="1"/>
      <c r="G127" s="1"/>
      <c r="H127" s="1"/>
    </row>
    <row r="128" spans="1:8" x14ac:dyDescent="0.25">
      <c r="A128" s="1">
        <v>23.7</v>
      </c>
      <c r="B128" s="1">
        <v>180000</v>
      </c>
      <c r="D128" s="8">
        <v>442000</v>
      </c>
      <c r="E128" s="1">
        <v>51</v>
      </c>
      <c r="F128" s="1"/>
      <c r="G128" s="1"/>
      <c r="H128" s="1"/>
    </row>
    <row r="129" spans="1:8" x14ac:dyDescent="0.25">
      <c r="A129" s="1">
        <v>24.3</v>
      </c>
      <c r="B129" s="1">
        <v>200000</v>
      </c>
      <c r="D129" s="8">
        <v>432000</v>
      </c>
      <c r="E129" s="1">
        <v>47</v>
      </c>
      <c r="F129" s="1"/>
      <c r="G129" s="1"/>
      <c r="H129" s="1"/>
    </row>
    <row r="130" spans="1:8" x14ac:dyDescent="0.25">
      <c r="A130" s="1">
        <v>24.9</v>
      </c>
      <c r="B130" s="1">
        <v>220000</v>
      </c>
      <c r="D130" s="8">
        <v>424000</v>
      </c>
      <c r="E130" s="1">
        <v>43</v>
      </c>
      <c r="F130" s="1"/>
      <c r="G130" s="1"/>
      <c r="H130" s="1"/>
    </row>
    <row r="131" spans="1:8" x14ac:dyDescent="0.25">
      <c r="A131" s="1">
        <v>25.5</v>
      </c>
      <c r="B131" s="1">
        <v>240000</v>
      </c>
      <c r="D131" s="8">
        <v>412000</v>
      </c>
      <c r="E131" s="1">
        <v>39</v>
      </c>
      <c r="F131" s="1"/>
      <c r="G131" s="1"/>
      <c r="H131" s="1"/>
    </row>
    <row r="132" spans="1:8" x14ac:dyDescent="0.25">
      <c r="A132" s="1">
        <v>26.1</v>
      </c>
      <c r="B132" s="1">
        <v>270000</v>
      </c>
      <c r="D132" s="8">
        <v>402000</v>
      </c>
      <c r="E132" s="1">
        <v>36</v>
      </c>
      <c r="F132" s="1"/>
      <c r="G132" s="1"/>
      <c r="H132" s="1"/>
    </row>
    <row r="133" spans="1:8" x14ac:dyDescent="0.25">
      <c r="A133" s="1">
        <v>26.7</v>
      </c>
      <c r="B133" s="1">
        <v>300000</v>
      </c>
      <c r="D133" s="8">
        <v>392000</v>
      </c>
      <c r="E133" s="1">
        <v>33</v>
      </c>
      <c r="F133" s="1"/>
      <c r="G133" s="1"/>
      <c r="H133" s="1"/>
    </row>
    <row r="134" spans="1:8" x14ac:dyDescent="0.25">
      <c r="A134" s="1">
        <v>27.4</v>
      </c>
      <c r="B134" s="1">
        <v>330000</v>
      </c>
      <c r="D134" s="8">
        <v>383000</v>
      </c>
      <c r="E134" s="1">
        <v>30</v>
      </c>
      <c r="F134" s="1"/>
      <c r="G134" s="1"/>
      <c r="H134" s="1"/>
    </row>
    <row r="135" spans="1:8" x14ac:dyDescent="0.25">
      <c r="A135" s="1">
        <v>28</v>
      </c>
      <c r="B135" s="1">
        <v>360000</v>
      </c>
      <c r="D135" s="8">
        <v>374000</v>
      </c>
      <c r="E135" s="1">
        <v>27</v>
      </c>
      <c r="F135" s="1"/>
      <c r="G135" s="1"/>
      <c r="H135" s="1"/>
    </row>
    <row r="136" spans="1:8" x14ac:dyDescent="0.25">
      <c r="A136" s="1">
        <v>28.7</v>
      </c>
      <c r="B136" s="1">
        <v>390000</v>
      </c>
      <c r="D136" s="8">
        <v>365000</v>
      </c>
      <c r="E136" s="1">
        <v>24</v>
      </c>
      <c r="F136" s="1"/>
      <c r="G136" s="1"/>
      <c r="H136" s="1"/>
    </row>
    <row r="137" spans="1:8" x14ac:dyDescent="0.25">
      <c r="A137" s="1">
        <v>29.4</v>
      </c>
      <c r="B137" s="1">
        <v>430000</v>
      </c>
      <c r="D137" s="8">
        <v>357000</v>
      </c>
      <c r="E137" s="1">
        <v>22</v>
      </c>
      <c r="F137" s="1"/>
      <c r="G137" s="1"/>
      <c r="H137" s="1"/>
    </row>
    <row r="138" spans="1:8" x14ac:dyDescent="0.25">
      <c r="A138" s="1">
        <v>30.1</v>
      </c>
      <c r="B138" s="1">
        <v>470000</v>
      </c>
      <c r="D138" s="8">
        <v>348000</v>
      </c>
      <c r="E138" s="1">
        <v>20</v>
      </c>
      <c r="F138" s="1"/>
      <c r="G138" s="1"/>
      <c r="H138" s="1"/>
    </row>
    <row r="139" spans="1:8" x14ac:dyDescent="0.25">
      <c r="A139" s="1">
        <v>30.9</v>
      </c>
      <c r="B139" s="1">
        <v>510000</v>
      </c>
      <c r="D139" s="8">
        <v>340000</v>
      </c>
      <c r="E139" s="1">
        <v>18</v>
      </c>
      <c r="F139" s="1"/>
      <c r="G139" s="1"/>
      <c r="H139" s="1"/>
    </row>
    <row r="140" spans="1:8" x14ac:dyDescent="0.25">
      <c r="A140" s="1">
        <v>31.6</v>
      </c>
      <c r="B140" s="1">
        <v>560000</v>
      </c>
      <c r="D140" s="8">
        <v>332000</v>
      </c>
      <c r="E140" s="1">
        <v>16</v>
      </c>
      <c r="F140" s="1"/>
      <c r="G140" s="1"/>
      <c r="H140" s="1"/>
    </row>
    <row r="141" spans="1:8" x14ac:dyDescent="0.25">
      <c r="A141" s="1">
        <v>32.4</v>
      </c>
      <c r="B141" s="1">
        <v>620000</v>
      </c>
      <c r="D141" s="8">
        <v>324000</v>
      </c>
      <c r="E141" s="1">
        <v>15</v>
      </c>
      <c r="F141" s="1"/>
      <c r="G141" s="1"/>
      <c r="H141" s="1"/>
    </row>
    <row r="142" spans="1:8" x14ac:dyDescent="0.25">
      <c r="A142" s="1">
        <v>33.200000000000003</v>
      </c>
      <c r="B142" s="1">
        <v>680000</v>
      </c>
      <c r="D142" s="8">
        <v>316000</v>
      </c>
      <c r="E142" s="1">
        <v>13</v>
      </c>
      <c r="F142" s="1"/>
      <c r="G142" s="1"/>
      <c r="H142" s="1"/>
    </row>
    <row r="143" spans="1:8" x14ac:dyDescent="0.25">
      <c r="A143" s="1">
        <v>34</v>
      </c>
      <c r="B143" s="1">
        <v>750000</v>
      </c>
      <c r="D143" s="8">
        <v>309000</v>
      </c>
      <c r="E143" s="1">
        <v>12</v>
      </c>
      <c r="F143" s="1"/>
      <c r="G143" s="1"/>
      <c r="H143" s="1"/>
    </row>
    <row r="144" spans="1:8" x14ac:dyDescent="0.25">
      <c r="A144" s="1">
        <v>34.799999999999997</v>
      </c>
      <c r="B144" s="1">
        <v>820000</v>
      </c>
      <c r="D144" s="8">
        <v>301000</v>
      </c>
      <c r="E144" s="1">
        <v>11</v>
      </c>
      <c r="F144" s="1"/>
      <c r="G144" s="1"/>
      <c r="H144" s="1"/>
    </row>
    <row r="145" spans="1:8" x14ac:dyDescent="0.25">
      <c r="A145" s="1">
        <v>35.700000000000003</v>
      </c>
      <c r="B145" s="1">
        <v>910000</v>
      </c>
      <c r="D145" s="8">
        <v>294000</v>
      </c>
      <c r="E145" s="1">
        <v>10</v>
      </c>
      <c r="F145" s="1"/>
      <c r="G145" s="1"/>
      <c r="H145" s="1"/>
    </row>
    <row r="146" spans="1:8" x14ac:dyDescent="0.25">
      <c r="A146" s="1">
        <v>36.5</v>
      </c>
      <c r="B146" s="1">
        <v>1000000</v>
      </c>
      <c r="D146" s="8">
        <v>287000</v>
      </c>
      <c r="E146" s="1">
        <v>9.1</v>
      </c>
      <c r="F146" s="1"/>
      <c r="G146" s="1"/>
      <c r="H146" s="1"/>
    </row>
    <row r="147" spans="1:8" x14ac:dyDescent="0.25">
      <c r="A147" s="1">
        <v>37.4</v>
      </c>
      <c r="B147" s="1">
        <v>1100000</v>
      </c>
      <c r="D147" s="8">
        <v>280000</v>
      </c>
      <c r="E147" s="1">
        <v>8.1999999999999993</v>
      </c>
      <c r="F147" s="1"/>
      <c r="G147" s="1"/>
      <c r="H147" s="1"/>
    </row>
    <row r="148" spans="1:8" x14ac:dyDescent="0.25">
      <c r="A148" s="1">
        <v>38.299999999999997</v>
      </c>
      <c r="B148" s="1">
        <v>1200000</v>
      </c>
      <c r="D148" s="8">
        <v>274000</v>
      </c>
      <c r="E148" s="1">
        <v>7.5</v>
      </c>
      <c r="F148" s="1"/>
      <c r="G148" s="1"/>
      <c r="H148" s="1"/>
    </row>
    <row r="149" spans="1:8" x14ac:dyDescent="0.25">
      <c r="A149" s="1">
        <v>39.200000000000003</v>
      </c>
      <c r="B149" s="1">
        <v>1300000</v>
      </c>
      <c r="D149" s="8">
        <v>267000</v>
      </c>
      <c r="E149" s="1">
        <v>6.8</v>
      </c>
      <c r="F149" s="1"/>
      <c r="G149" s="1"/>
      <c r="H149" s="1"/>
    </row>
    <row r="150" spans="1:8" x14ac:dyDescent="0.25">
      <c r="A150" s="1">
        <v>40.200000000000003</v>
      </c>
      <c r="B150" s="1">
        <v>1500000</v>
      </c>
      <c r="D150" s="8">
        <v>261000</v>
      </c>
      <c r="E150" s="1">
        <v>6.2</v>
      </c>
      <c r="F150" s="1"/>
      <c r="G150" s="1"/>
      <c r="H150" s="1"/>
    </row>
    <row r="151" spans="1:8" x14ac:dyDescent="0.25">
      <c r="A151" s="1">
        <v>41.2</v>
      </c>
      <c r="B151" s="1">
        <v>1600000</v>
      </c>
      <c r="D151" s="8">
        <v>255000</v>
      </c>
      <c r="E151" s="1">
        <v>5.6</v>
      </c>
      <c r="F151" s="1"/>
      <c r="G151" s="1"/>
      <c r="H151" s="1"/>
    </row>
    <row r="152" spans="1:8" x14ac:dyDescent="0.25">
      <c r="A152" s="1">
        <v>42.4</v>
      </c>
      <c r="B152" s="1">
        <v>1800000</v>
      </c>
      <c r="D152" s="8">
        <v>249000</v>
      </c>
      <c r="E152" s="1">
        <v>5.0999999999999996</v>
      </c>
      <c r="F152" s="1"/>
      <c r="G152" s="1"/>
      <c r="H152" s="1"/>
    </row>
    <row r="153" spans="1:8" x14ac:dyDescent="0.25">
      <c r="A153" s="1">
        <v>43.2</v>
      </c>
      <c r="B153" s="1">
        <v>2000000</v>
      </c>
      <c r="D153" s="8">
        <v>243000</v>
      </c>
      <c r="E153" s="1">
        <v>4.7</v>
      </c>
      <c r="F153" s="1"/>
      <c r="G153" s="1"/>
      <c r="H153" s="1"/>
    </row>
    <row r="154" spans="1:8" x14ac:dyDescent="0.25">
      <c r="A154" s="1">
        <v>44.2</v>
      </c>
      <c r="B154" s="1">
        <v>2200000</v>
      </c>
      <c r="D154" s="8">
        <v>237000</v>
      </c>
      <c r="E154" s="1">
        <v>4.3</v>
      </c>
      <c r="F154" s="1"/>
      <c r="G154" s="1"/>
      <c r="H154" s="1"/>
    </row>
    <row r="155" spans="1:8" x14ac:dyDescent="0.25">
      <c r="A155" s="1">
        <v>45.2</v>
      </c>
      <c r="B155" s="1">
        <v>2400000</v>
      </c>
      <c r="D155" s="8">
        <v>232000</v>
      </c>
      <c r="E155" s="1">
        <v>3.9</v>
      </c>
      <c r="F155" s="1"/>
      <c r="G155" s="1"/>
      <c r="H155" s="1"/>
    </row>
    <row r="156" spans="1:8" x14ac:dyDescent="0.25">
      <c r="A156" s="1">
        <v>46.4</v>
      </c>
      <c r="B156" s="1">
        <v>2700000</v>
      </c>
      <c r="D156" s="8">
        <v>226000</v>
      </c>
      <c r="E156" s="1">
        <v>3.6</v>
      </c>
      <c r="F156" s="1"/>
      <c r="G156" s="1"/>
      <c r="H156" s="1"/>
    </row>
    <row r="157" spans="1:8" x14ac:dyDescent="0.25">
      <c r="A157" s="1">
        <v>47.5</v>
      </c>
      <c r="B157" s="1">
        <v>3000000</v>
      </c>
      <c r="D157" s="8">
        <v>221000</v>
      </c>
      <c r="E157" s="1">
        <v>3.3</v>
      </c>
      <c r="F157" s="1"/>
      <c r="G157" s="1"/>
      <c r="H157" s="1"/>
    </row>
    <row r="158" spans="1:8" x14ac:dyDescent="0.25">
      <c r="A158" s="1">
        <v>48.7</v>
      </c>
      <c r="B158" s="1">
        <v>3300000</v>
      </c>
      <c r="D158" s="8">
        <v>215000</v>
      </c>
      <c r="E158" s="1">
        <v>3</v>
      </c>
      <c r="F158" s="1"/>
      <c r="G158" s="1"/>
      <c r="H158" s="1"/>
    </row>
    <row r="159" spans="1:8" x14ac:dyDescent="0.25">
      <c r="A159" s="1">
        <v>49.9</v>
      </c>
      <c r="B159" s="1">
        <v>3600000</v>
      </c>
      <c r="D159" s="8">
        <v>210000</v>
      </c>
      <c r="E159" s="1">
        <v>2.7</v>
      </c>
      <c r="F159" s="1"/>
      <c r="G159" s="1"/>
      <c r="H159" s="1"/>
    </row>
    <row r="160" spans="1:8" x14ac:dyDescent="0.25">
      <c r="A160" s="1">
        <v>51.1</v>
      </c>
      <c r="B160" s="1">
        <v>3900000</v>
      </c>
      <c r="D160" s="8">
        <v>205000</v>
      </c>
      <c r="E160" s="1">
        <v>2.4</v>
      </c>
      <c r="F160" s="1"/>
      <c r="G160" s="1"/>
      <c r="H160" s="1"/>
    </row>
    <row r="161" spans="1:8" x14ac:dyDescent="0.25">
      <c r="A161" s="1">
        <v>52.3</v>
      </c>
      <c r="B161" s="1">
        <v>4300000</v>
      </c>
      <c r="D161" s="8">
        <v>200000</v>
      </c>
      <c r="E161" s="1">
        <v>2.2000000000000002</v>
      </c>
      <c r="F161" s="1"/>
      <c r="G161" s="1"/>
      <c r="H161" s="1"/>
    </row>
    <row r="162" spans="1:8" x14ac:dyDescent="0.25">
      <c r="A162" s="1">
        <v>53.6</v>
      </c>
      <c r="B162" s="1">
        <v>4700000</v>
      </c>
      <c r="D162" s="8">
        <v>196000</v>
      </c>
      <c r="E162" s="1">
        <v>2</v>
      </c>
      <c r="F162" s="1"/>
      <c r="G162" s="1"/>
      <c r="H162" s="1"/>
    </row>
    <row r="163" spans="1:8" x14ac:dyDescent="0.25">
      <c r="A163" s="1">
        <v>54.9</v>
      </c>
      <c r="B163" s="1">
        <v>5100000</v>
      </c>
      <c r="D163" s="8">
        <v>182000</v>
      </c>
      <c r="E163" s="1">
        <v>1.8</v>
      </c>
      <c r="F163" s="1"/>
      <c r="G163" s="1"/>
      <c r="H163" s="1"/>
    </row>
    <row r="164" spans="1:8" x14ac:dyDescent="0.25">
      <c r="A164" s="1">
        <v>56.2</v>
      </c>
      <c r="B164" s="1">
        <v>5600000</v>
      </c>
      <c r="D164" s="8">
        <v>174000</v>
      </c>
      <c r="E164" s="1">
        <v>1.6</v>
      </c>
      <c r="F164" s="1"/>
      <c r="G164" s="1"/>
      <c r="H164" s="1"/>
    </row>
    <row r="165" spans="1:8" x14ac:dyDescent="0.25">
      <c r="A165" s="1">
        <v>57.6</v>
      </c>
      <c r="B165" s="1">
        <v>6200000</v>
      </c>
      <c r="D165" s="8">
        <v>169000</v>
      </c>
      <c r="E165" s="1">
        <v>1.5</v>
      </c>
      <c r="F165" s="1"/>
      <c r="G165" s="1"/>
      <c r="H165" s="1"/>
    </row>
    <row r="166" spans="1:8" x14ac:dyDescent="0.25">
      <c r="A166" s="1">
        <v>59</v>
      </c>
      <c r="B166" s="1">
        <v>6800000</v>
      </c>
      <c r="D166" s="8">
        <v>165000</v>
      </c>
      <c r="E166" s="1">
        <v>1.3</v>
      </c>
      <c r="F166" s="1"/>
      <c r="G166" s="1"/>
      <c r="H166" s="1"/>
    </row>
    <row r="167" spans="1:8" x14ac:dyDescent="0.25">
      <c r="A167" s="1">
        <v>60.4</v>
      </c>
      <c r="B167" s="1">
        <v>7500000</v>
      </c>
      <c r="D167" s="8">
        <v>162000</v>
      </c>
      <c r="E167" s="1">
        <v>1.2</v>
      </c>
      <c r="F167" s="1"/>
      <c r="G167" s="1"/>
      <c r="H167" s="1"/>
    </row>
    <row r="168" spans="1:8" x14ac:dyDescent="0.25">
      <c r="A168" s="1">
        <v>61.9</v>
      </c>
      <c r="B168" s="1">
        <v>8200000</v>
      </c>
      <c r="D168" s="8">
        <v>158000</v>
      </c>
      <c r="E168" s="1">
        <v>1.1000000000000001</v>
      </c>
      <c r="F168" s="1"/>
      <c r="G168" s="1"/>
      <c r="H168" s="1"/>
    </row>
    <row r="169" spans="1:8" x14ac:dyDescent="0.25">
      <c r="A169" s="1">
        <v>63.4</v>
      </c>
      <c r="B169" s="1">
        <v>9100000</v>
      </c>
      <c r="D169" s="8">
        <v>154000</v>
      </c>
      <c r="E169" s="1">
        <v>1</v>
      </c>
      <c r="F169" s="1"/>
      <c r="G169" s="1"/>
      <c r="H169" s="1"/>
    </row>
    <row r="170" spans="1:8" x14ac:dyDescent="0.25">
      <c r="A170" s="1">
        <v>64.900000000000006</v>
      </c>
      <c r="D170" s="8">
        <v>150000</v>
      </c>
    </row>
    <row r="171" spans="1:8" x14ac:dyDescent="0.25">
      <c r="A171" s="1">
        <v>66.5</v>
      </c>
      <c r="D171" s="8">
        <v>147000</v>
      </c>
    </row>
    <row r="172" spans="1:8" x14ac:dyDescent="0.25">
      <c r="A172" s="1">
        <v>68.099999999999994</v>
      </c>
      <c r="D172" s="8">
        <v>143000</v>
      </c>
    </row>
    <row r="173" spans="1:8" x14ac:dyDescent="0.25">
      <c r="A173" s="1">
        <v>69.8</v>
      </c>
      <c r="D173" s="8">
        <v>140000</v>
      </c>
    </row>
    <row r="174" spans="1:8" x14ac:dyDescent="0.25">
      <c r="A174" s="1">
        <v>71.5</v>
      </c>
      <c r="D174" s="8">
        <v>137000</v>
      </c>
    </row>
    <row r="175" spans="1:8" x14ac:dyDescent="0.25">
      <c r="A175" s="1">
        <v>73.2</v>
      </c>
      <c r="D175" s="8">
        <v>133000</v>
      </c>
    </row>
    <row r="176" spans="1:8" x14ac:dyDescent="0.25">
      <c r="A176" s="1">
        <v>75</v>
      </c>
      <c r="D176" s="8">
        <v>130000</v>
      </c>
    </row>
    <row r="177" spans="1:4" x14ac:dyDescent="0.25">
      <c r="A177" s="1">
        <v>76.8</v>
      </c>
      <c r="D177" s="8">
        <v>127000</v>
      </c>
    </row>
    <row r="178" spans="1:4" x14ac:dyDescent="0.25">
      <c r="A178" s="1">
        <v>78.7</v>
      </c>
      <c r="D178" s="8">
        <v>124000</v>
      </c>
    </row>
    <row r="179" spans="1:4" x14ac:dyDescent="0.25">
      <c r="A179" s="1">
        <v>80.599999999999994</v>
      </c>
      <c r="D179" s="8">
        <v>121000</v>
      </c>
    </row>
    <row r="180" spans="1:4" x14ac:dyDescent="0.25">
      <c r="A180" s="1">
        <v>82.5</v>
      </c>
      <c r="D180" s="8">
        <v>118000</v>
      </c>
    </row>
    <row r="181" spans="1:4" x14ac:dyDescent="0.25">
      <c r="A181" s="1">
        <v>84.5</v>
      </c>
      <c r="D181" s="8">
        <v>115000</v>
      </c>
    </row>
    <row r="182" spans="1:4" x14ac:dyDescent="0.25">
      <c r="A182" s="1">
        <v>86.6</v>
      </c>
      <c r="D182" s="8">
        <v>113000</v>
      </c>
    </row>
    <row r="183" spans="1:4" x14ac:dyDescent="0.25">
      <c r="A183" s="1">
        <v>88.7</v>
      </c>
      <c r="D183" s="8">
        <v>110000</v>
      </c>
    </row>
    <row r="184" spans="1:4" x14ac:dyDescent="0.25">
      <c r="A184" s="1">
        <v>90.9</v>
      </c>
      <c r="D184" s="8">
        <v>107000</v>
      </c>
    </row>
    <row r="185" spans="1:4" x14ac:dyDescent="0.25">
      <c r="A185" s="1">
        <v>93.1</v>
      </c>
      <c r="D185" s="8">
        <v>105000</v>
      </c>
    </row>
    <row r="186" spans="1:4" x14ac:dyDescent="0.25">
      <c r="A186" s="1">
        <v>95.3</v>
      </c>
      <c r="D186" s="8">
        <v>102000</v>
      </c>
    </row>
    <row r="187" spans="1:4" x14ac:dyDescent="0.25">
      <c r="A187" s="1">
        <v>97.6</v>
      </c>
      <c r="D187" s="8">
        <v>100000</v>
      </c>
    </row>
    <row r="188" spans="1:4" x14ac:dyDescent="0.25">
      <c r="A188">
        <v>100</v>
      </c>
      <c r="D188">
        <v>97600</v>
      </c>
    </row>
    <row r="189" spans="1:4" x14ac:dyDescent="0.25">
      <c r="A189">
        <v>102</v>
      </c>
      <c r="D189">
        <v>95300</v>
      </c>
    </row>
    <row r="190" spans="1:4" x14ac:dyDescent="0.25">
      <c r="A190">
        <v>105</v>
      </c>
      <c r="D190">
        <v>93100</v>
      </c>
    </row>
    <row r="191" spans="1:4" x14ac:dyDescent="0.25">
      <c r="A191">
        <v>107</v>
      </c>
      <c r="D191">
        <v>90900</v>
      </c>
    </row>
    <row r="192" spans="1:4" x14ac:dyDescent="0.25">
      <c r="A192">
        <v>110</v>
      </c>
      <c r="D192">
        <v>88700</v>
      </c>
    </row>
    <row r="193" spans="1:4" x14ac:dyDescent="0.25">
      <c r="A193">
        <v>113</v>
      </c>
      <c r="D193">
        <v>86600</v>
      </c>
    </row>
    <row r="194" spans="1:4" x14ac:dyDescent="0.25">
      <c r="A194">
        <v>115</v>
      </c>
      <c r="D194">
        <v>84500</v>
      </c>
    </row>
    <row r="195" spans="1:4" x14ac:dyDescent="0.25">
      <c r="A195">
        <v>118</v>
      </c>
      <c r="D195">
        <v>82500</v>
      </c>
    </row>
    <row r="196" spans="1:4" x14ac:dyDescent="0.25">
      <c r="A196">
        <v>121</v>
      </c>
      <c r="D196">
        <v>80600</v>
      </c>
    </row>
    <row r="197" spans="1:4" x14ac:dyDescent="0.25">
      <c r="A197">
        <v>124</v>
      </c>
      <c r="D197">
        <v>78700</v>
      </c>
    </row>
    <row r="198" spans="1:4" x14ac:dyDescent="0.25">
      <c r="A198">
        <v>127</v>
      </c>
      <c r="D198">
        <v>76800</v>
      </c>
    </row>
    <row r="199" spans="1:4" x14ac:dyDescent="0.25">
      <c r="A199">
        <v>130</v>
      </c>
      <c r="D199">
        <v>75000</v>
      </c>
    </row>
    <row r="200" spans="1:4" x14ac:dyDescent="0.25">
      <c r="A200">
        <v>133</v>
      </c>
      <c r="D200">
        <v>73200</v>
      </c>
    </row>
    <row r="201" spans="1:4" x14ac:dyDescent="0.25">
      <c r="A201">
        <v>137</v>
      </c>
      <c r="D201">
        <v>71500</v>
      </c>
    </row>
    <row r="202" spans="1:4" x14ac:dyDescent="0.25">
      <c r="A202">
        <v>140</v>
      </c>
      <c r="D202">
        <v>69800</v>
      </c>
    </row>
    <row r="203" spans="1:4" x14ac:dyDescent="0.25">
      <c r="A203">
        <v>143</v>
      </c>
      <c r="D203">
        <v>68100</v>
      </c>
    </row>
    <row r="204" spans="1:4" x14ac:dyDescent="0.25">
      <c r="A204">
        <v>147</v>
      </c>
      <c r="D204">
        <v>66500</v>
      </c>
    </row>
    <row r="205" spans="1:4" x14ac:dyDescent="0.25">
      <c r="A205">
        <v>150</v>
      </c>
      <c r="D205">
        <v>64900</v>
      </c>
    </row>
    <row r="206" spans="1:4" x14ac:dyDescent="0.25">
      <c r="A206">
        <v>154</v>
      </c>
      <c r="D206">
        <v>63400</v>
      </c>
    </row>
    <row r="207" spans="1:4" x14ac:dyDescent="0.25">
      <c r="A207">
        <v>158</v>
      </c>
      <c r="D207">
        <v>61900</v>
      </c>
    </row>
    <row r="208" spans="1:4" x14ac:dyDescent="0.25">
      <c r="A208">
        <v>162</v>
      </c>
      <c r="D208">
        <v>60400</v>
      </c>
    </row>
    <row r="209" spans="1:4" x14ac:dyDescent="0.25">
      <c r="A209">
        <v>165</v>
      </c>
      <c r="D209">
        <v>59000</v>
      </c>
    </row>
    <row r="210" spans="1:4" x14ac:dyDescent="0.25">
      <c r="A210">
        <v>169</v>
      </c>
      <c r="D210">
        <v>57600</v>
      </c>
    </row>
    <row r="211" spans="1:4" x14ac:dyDescent="0.25">
      <c r="A211">
        <v>174</v>
      </c>
      <c r="D211">
        <v>56200</v>
      </c>
    </row>
    <row r="212" spans="1:4" x14ac:dyDescent="0.25">
      <c r="A212">
        <v>182</v>
      </c>
      <c r="D212">
        <v>54900</v>
      </c>
    </row>
    <row r="213" spans="1:4" x14ac:dyDescent="0.25">
      <c r="A213">
        <v>196</v>
      </c>
      <c r="D213">
        <v>53600</v>
      </c>
    </row>
    <row r="214" spans="1:4" x14ac:dyDescent="0.25">
      <c r="A214">
        <v>200</v>
      </c>
      <c r="D214">
        <v>52300</v>
      </c>
    </row>
    <row r="215" spans="1:4" x14ac:dyDescent="0.25">
      <c r="A215">
        <v>205</v>
      </c>
      <c r="D215">
        <v>51100</v>
      </c>
    </row>
    <row r="216" spans="1:4" x14ac:dyDescent="0.25">
      <c r="A216">
        <v>210</v>
      </c>
      <c r="D216">
        <v>49900</v>
      </c>
    </row>
    <row r="217" spans="1:4" x14ac:dyDescent="0.25">
      <c r="A217">
        <v>215</v>
      </c>
      <c r="D217">
        <v>48700</v>
      </c>
    </row>
    <row r="218" spans="1:4" x14ac:dyDescent="0.25">
      <c r="A218">
        <v>221</v>
      </c>
      <c r="D218">
        <v>47500</v>
      </c>
    </row>
    <row r="219" spans="1:4" x14ac:dyDescent="0.25">
      <c r="A219">
        <v>226</v>
      </c>
      <c r="D219">
        <v>46400</v>
      </c>
    </row>
    <row r="220" spans="1:4" x14ac:dyDescent="0.25">
      <c r="A220">
        <v>232</v>
      </c>
      <c r="D220">
        <v>45200</v>
      </c>
    </row>
    <row r="221" spans="1:4" x14ac:dyDescent="0.25">
      <c r="A221">
        <v>237</v>
      </c>
      <c r="D221">
        <v>44200</v>
      </c>
    </row>
    <row r="222" spans="1:4" x14ac:dyDescent="0.25">
      <c r="A222">
        <v>243</v>
      </c>
      <c r="D222">
        <v>43200</v>
      </c>
    </row>
    <row r="223" spans="1:4" x14ac:dyDescent="0.25">
      <c r="A223">
        <v>249</v>
      </c>
      <c r="D223">
        <v>42400</v>
      </c>
    </row>
    <row r="224" spans="1:4" x14ac:dyDescent="0.25">
      <c r="A224">
        <v>255</v>
      </c>
      <c r="D224">
        <v>41200</v>
      </c>
    </row>
    <row r="225" spans="1:4" x14ac:dyDescent="0.25">
      <c r="A225">
        <v>261</v>
      </c>
      <c r="D225">
        <v>40200</v>
      </c>
    </row>
    <row r="226" spans="1:4" x14ac:dyDescent="0.25">
      <c r="A226">
        <v>267</v>
      </c>
      <c r="D226">
        <v>39200</v>
      </c>
    </row>
    <row r="227" spans="1:4" x14ac:dyDescent="0.25">
      <c r="A227">
        <v>274</v>
      </c>
      <c r="D227">
        <v>38300</v>
      </c>
    </row>
    <row r="228" spans="1:4" x14ac:dyDescent="0.25">
      <c r="A228">
        <v>280</v>
      </c>
      <c r="D228">
        <v>37400</v>
      </c>
    </row>
    <row r="229" spans="1:4" x14ac:dyDescent="0.25">
      <c r="A229">
        <v>287</v>
      </c>
      <c r="D229">
        <v>36500</v>
      </c>
    </row>
    <row r="230" spans="1:4" x14ac:dyDescent="0.25">
      <c r="A230">
        <v>294</v>
      </c>
      <c r="D230">
        <v>35700</v>
      </c>
    </row>
    <row r="231" spans="1:4" x14ac:dyDescent="0.25">
      <c r="A231">
        <v>301</v>
      </c>
      <c r="D231">
        <v>34800</v>
      </c>
    </row>
    <row r="232" spans="1:4" x14ac:dyDescent="0.25">
      <c r="A232">
        <v>309</v>
      </c>
      <c r="D232">
        <v>34000</v>
      </c>
    </row>
    <row r="233" spans="1:4" x14ac:dyDescent="0.25">
      <c r="A233">
        <v>316</v>
      </c>
      <c r="D233">
        <v>33200</v>
      </c>
    </row>
    <row r="234" spans="1:4" x14ac:dyDescent="0.25">
      <c r="A234">
        <v>324</v>
      </c>
      <c r="D234">
        <v>32400</v>
      </c>
    </row>
    <row r="235" spans="1:4" x14ac:dyDescent="0.25">
      <c r="A235">
        <v>332</v>
      </c>
      <c r="D235">
        <v>31600</v>
      </c>
    </row>
    <row r="236" spans="1:4" x14ac:dyDescent="0.25">
      <c r="A236">
        <v>340</v>
      </c>
      <c r="D236">
        <v>30900</v>
      </c>
    </row>
    <row r="237" spans="1:4" x14ac:dyDescent="0.25">
      <c r="A237">
        <v>348</v>
      </c>
      <c r="D237">
        <v>30100</v>
      </c>
    </row>
    <row r="238" spans="1:4" x14ac:dyDescent="0.25">
      <c r="A238">
        <v>357</v>
      </c>
      <c r="D238">
        <v>29400</v>
      </c>
    </row>
    <row r="239" spans="1:4" x14ac:dyDescent="0.25">
      <c r="A239">
        <v>365</v>
      </c>
      <c r="D239">
        <v>28700</v>
      </c>
    </row>
    <row r="240" spans="1:4" x14ac:dyDescent="0.25">
      <c r="A240">
        <v>374</v>
      </c>
      <c r="D240">
        <v>28000</v>
      </c>
    </row>
    <row r="241" spans="1:4" x14ac:dyDescent="0.25">
      <c r="A241">
        <v>383</v>
      </c>
      <c r="D241">
        <v>27400</v>
      </c>
    </row>
    <row r="242" spans="1:4" x14ac:dyDescent="0.25">
      <c r="A242">
        <v>392</v>
      </c>
      <c r="D242">
        <v>26700</v>
      </c>
    </row>
    <row r="243" spans="1:4" x14ac:dyDescent="0.25">
      <c r="A243">
        <v>402</v>
      </c>
      <c r="D243">
        <v>26100</v>
      </c>
    </row>
    <row r="244" spans="1:4" x14ac:dyDescent="0.25">
      <c r="A244">
        <v>412</v>
      </c>
      <c r="D244">
        <v>25500</v>
      </c>
    </row>
    <row r="245" spans="1:4" x14ac:dyDescent="0.25">
      <c r="A245">
        <v>424</v>
      </c>
      <c r="D245">
        <v>24900</v>
      </c>
    </row>
    <row r="246" spans="1:4" x14ac:dyDescent="0.25">
      <c r="A246">
        <v>432</v>
      </c>
      <c r="D246">
        <v>24300</v>
      </c>
    </row>
    <row r="247" spans="1:4" x14ac:dyDescent="0.25">
      <c r="A247">
        <v>442</v>
      </c>
      <c r="D247">
        <v>23700</v>
      </c>
    </row>
    <row r="248" spans="1:4" x14ac:dyDescent="0.25">
      <c r="A248">
        <v>452</v>
      </c>
      <c r="D248">
        <v>23200</v>
      </c>
    </row>
    <row r="249" spans="1:4" x14ac:dyDescent="0.25">
      <c r="A249">
        <v>464</v>
      </c>
      <c r="D249">
        <v>22600</v>
      </c>
    </row>
    <row r="250" spans="1:4" x14ac:dyDescent="0.25">
      <c r="A250">
        <v>475</v>
      </c>
      <c r="D250">
        <v>22100</v>
      </c>
    </row>
    <row r="251" spans="1:4" x14ac:dyDescent="0.25">
      <c r="A251">
        <v>487</v>
      </c>
      <c r="D251">
        <v>21500</v>
      </c>
    </row>
    <row r="252" spans="1:4" x14ac:dyDescent="0.25">
      <c r="A252">
        <v>499</v>
      </c>
      <c r="D252">
        <v>21000</v>
      </c>
    </row>
    <row r="253" spans="1:4" x14ac:dyDescent="0.25">
      <c r="A253">
        <v>511</v>
      </c>
      <c r="D253">
        <v>20500</v>
      </c>
    </row>
    <row r="254" spans="1:4" x14ac:dyDescent="0.25">
      <c r="A254">
        <v>523</v>
      </c>
      <c r="D254">
        <v>20000</v>
      </c>
    </row>
    <row r="255" spans="1:4" x14ac:dyDescent="0.25">
      <c r="A255">
        <v>536</v>
      </c>
      <c r="D255">
        <v>19600</v>
      </c>
    </row>
    <row r="256" spans="1:4" x14ac:dyDescent="0.25">
      <c r="A256">
        <v>549</v>
      </c>
      <c r="D256">
        <v>18200</v>
      </c>
    </row>
    <row r="257" spans="1:4" x14ac:dyDescent="0.25">
      <c r="A257">
        <v>562</v>
      </c>
      <c r="D257">
        <v>17400</v>
      </c>
    </row>
    <row r="258" spans="1:4" x14ac:dyDescent="0.25">
      <c r="A258">
        <v>576</v>
      </c>
      <c r="D258">
        <v>16900</v>
      </c>
    </row>
    <row r="259" spans="1:4" x14ac:dyDescent="0.25">
      <c r="A259">
        <v>590</v>
      </c>
      <c r="D259">
        <v>16500</v>
      </c>
    </row>
    <row r="260" spans="1:4" x14ac:dyDescent="0.25">
      <c r="A260">
        <v>604</v>
      </c>
      <c r="D260">
        <v>16200</v>
      </c>
    </row>
    <row r="261" spans="1:4" x14ac:dyDescent="0.25">
      <c r="A261">
        <v>619</v>
      </c>
      <c r="D261">
        <v>15800</v>
      </c>
    </row>
    <row r="262" spans="1:4" x14ac:dyDescent="0.25">
      <c r="A262">
        <v>634</v>
      </c>
      <c r="D262">
        <v>15400</v>
      </c>
    </row>
    <row r="263" spans="1:4" x14ac:dyDescent="0.25">
      <c r="A263">
        <v>649</v>
      </c>
      <c r="D263">
        <v>15000</v>
      </c>
    </row>
    <row r="264" spans="1:4" x14ac:dyDescent="0.25">
      <c r="A264">
        <v>665</v>
      </c>
      <c r="D264">
        <v>14700</v>
      </c>
    </row>
    <row r="265" spans="1:4" x14ac:dyDescent="0.25">
      <c r="A265">
        <v>681</v>
      </c>
      <c r="D265">
        <v>14300</v>
      </c>
    </row>
    <row r="266" spans="1:4" x14ac:dyDescent="0.25">
      <c r="A266">
        <v>698</v>
      </c>
      <c r="D266">
        <v>14000</v>
      </c>
    </row>
    <row r="267" spans="1:4" x14ac:dyDescent="0.25">
      <c r="A267">
        <v>715</v>
      </c>
      <c r="D267">
        <v>13700</v>
      </c>
    </row>
    <row r="268" spans="1:4" x14ac:dyDescent="0.25">
      <c r="A268">
        <v>732</v>
      </c>
      <c r="D268">
        <v>13300</v>
      </c>
    </row>
    <row r="269" spans="1:4" x14ac:dyDescent="0.25">
      <c r="A269">
        <v>750</v>
      </c>
      <c r="D269">
        <v>13000</v>
      </c>
    </row>
    <row r="270" spans="1:4" x14ac:dyDescent="0.25">
      <c r="A270">
        <v>768</v>
      </c>
      <c r="D270">
        <v>12700</v>
      </c>
    </row>
    <row r="271" spans="1:4" x14ac:dyDescent="0.25">
      <c r="A271">
        <v>787</v>
      </c>
      <c r="D271">
        <v>12400</v>
      </c>
    </row>
    <row r="272" spans="1:4" x14ac:dyDescent="0.25">
      <c r="A272">
        <v>806</v>
      </c>
      <c r="D272">
        <v>12100</v>
      </c>
    </row>
    <row r="273" spans="1:4" x14ac:dyDescent="0.25">
      <c r="A273">
        <v>825</v>
      </c>
      <c r="D273">
        <v>11800</v>
      </c>
    </row>
    <row r="274" spans="1:4" x14ac:dyDescent="0.25">
      <c r="A274">
        <v>845</v>
      </c>
      <c r="D274">
        <v>11500</v>
      </c>
    </row>
    <row r="275" spans="1:4" x14ac:dyDescent="0.25">
      <c r="A275">
        <v>866</v>
      </c>
      <c r="D275">
        <v>11300</v>
      </c>
    </row>
    <row r="276" spans="1:4" x14ac:dyDescent="0.25">
      <c r="A276">
        <v>887</v>
      </c>
      <c r="D276">
        <v>11000</v>
      </c>
    </row>
    <row r="277" spans="1:4" x14ac:dyDescent="0.25">
      <c r="A277">
        <v>909</v>
      </c>
      <c r="D277">
        <v>10700</v>
      </c>
    </row>
    <row r="278" spans="1:4" x14ac:dyDescent="0.25">
      <c r="A278">
        <v>931</v>
      </c>
      <c r="D278">
        <v>10500</v>
      </c>
    </row>
    <row r="279" spans="1:4" x14ac:dyDescent="0.25">
      <c r="A279">
        <v>953</v>
      </c>
      <c r="D279">
        <v>10200</v>
      </c>
    </row>
    <row r="280" spans="1:4" x14ac:dyDescent="0.25">
      <c r="A280">
        <v>976</v>
      </c>
      <c r="D280">
        <v>10000</v>
      </c>
    </row>
    <row r="281" spans="1:4" x14ac:dyDescent="0.25">
      <c r="A281" s="1">
        <v>1000</v>
      </c>
      <c r="D281" s="1">
        <v>9760</v>
      </c>
    </row>
    <row r="282" spans="1:4" x14ac:dyDescent="0.25">
      <c r="A282" s="1">
        <v>1020</v>
      </c>
      <c r="D282" s="1">
        <v>9530</v>
      </c>
    </row>
    <row r="283" spans="1:4" x14ac:dyDescent="0.25">
      <c r="A283" s="1">
        <v>1050</v>
      </c>
      <c r="D283" s="1">
        <v>9310</v>
      </c>
    </row>
    <row r="284" spans="1:4" x14ac:dyDescent="0.25">
      <c r="A284" s="1">
        <v>1070</v>
      </c>
      <c r="D284" s="1">
        <v>9090</v>
      </c>
    </row>
    <row r="285" spans="1:4" x14ac:dyDescent="0.25">
      <c r="A285" s="1">
        <v>1100</v>
      </c>
      <c r="D285" s="1">
        <v>8870</v>
      </c>
    </row>
    <row r="286" spans="1:4" x14ac:dyDescent="0.25">
      <c r="A286" s="1">
        <v>1130</v>
      </c>
      <c r="D286" s="1">
        <v>8660</v>
      </c>
    </row>
    <row r="287" spans="1:4" x14ac:dyDescent="0.25">
      <c r="A287" s="1">
        <v>1150</v>
      </c>
      <c r="D287" s="1">
        <v>8450</v>
      </c>
    </row>
    <row r="288" spans="1:4" x14ac:dyDescent="0.25">
      <c r="A288" s="1">
        <v>1180</v>
      </c>
      <c r="D288" s="1">
        <v>8250</v>
      </c>
    </row>
    <row r="289" spans="1:4" x14ac:dyDescent="0.25">
      <c r="A289" s="1">
        <v>1210</v>
      </c>
      <c r="D289" s="1">
        <v>8060</v>
      </c>
    </row>
    <row r="290" spans="1:4" x14ac:dyDescent="0.25">
      <c r="A290" s="1">
        <v>1240</v>
      </c>
      <c r="D290" s="1">
        <v>7870</v>
      </c>
    </row>
    <row r="291" spans="1:4" x14ac:dyDescent="0.25">
      <c r="A291" s="1">
        <v>1270</v>
      </c>
      <c r="D291" s="1">
        <v>7680</v>
      </c>
    </row>
    <row r="292" spans="1:4" x14ac:dyDescent="0.25">
      <c r="A292" s="1">
        <v>1300</v>
      </c>
      <c r="D292" s="1">
        <v>7500</v>
      </c>
    </row>
    <row r="293" spans="1:4" x14ac:dyDescent="0.25">
      <c r="A293" s="1">
        <v>1330</v>
      </c>
      <c r="D293" s="1">
        <v>7320</v>
      </c>
    </row>
    <row r="294" spans="1:4" x14ac:dyDescent="0.25">
      <c r="A294" s="1">
        <v>1370</v>
      </c>
      <c r="D294" s="1">
        <v>7150</v>
      </c>
    </row>
    <row r="295" spans="1:4" x14ac:dyDescent="0.25">
      <c r="A295" s="1">
        <v>1400</v>
      </c>
      <c r="D295" s="1">
        <v>6980</v>
      </c>
    </row>
    <row r="296" spans="1:4" x14ac:dyDescent="0.25">
      <c r="A296" s="1">
        <v>1430</v>
      </c>
      <c r="D296" s="1">
        <v>6810</v>
      </c>
    </row>
    <row r="297" spans="1:4" x14ac:dyDescent="0.25">
      <c r="A297" s="1">
        <v>1470</v>
      </c>
      <c r="D297" s="1">
        <v>6650</v>
      </c>
    </row>
    <row r="298" spans="1:4" x14ac:dyDescent="0.25">
      <c r="A298" s="1">
        <v>1500</v>
      </c>
      <c r="D298" s="1">
        <v>6490</v>
      </c>
    </row>
    <row r="299" spans="1:4" x14ac:dyDescent="0.25">
      <c r="A299" s="1">
        <v>1540</v>
      </c>
      <c r="D299" s="1">
        <v>6340</v>
      </c>
    </row>
    <row r="300" spans="1:4" x14ac:dyDescent="0.25">
      <c r="A300" s="1">
        <v>1580</v>
      </c>
      <c r="D300" s="1">
        <v>6190</v>
      </c>
    </row>
    <row r="301" spans="1:4" x14ac:dyDescent="0.25">
      <c r="A301" s="1">
        <v>1620</v>
      </c>
      <c r="D301" s="1">
        <v>6040</v>
      </c>
    </row>
    <row r="302" spans="1:4" x14ac:dyDescent="0.25">
      <c r="A302" s="1">
        <v>1650</v>
      </c>
      <c r="D302" s="1">
        <v>5900</v>
      </c>
    </row>
    <row r="303" spans="1:4" x14ac:dyDescent="0.25">
      <c r="A303" s="1">
        <v>1690</v>
      </c>
      <c r="D303" s="1">
        <v>5760</v>
      </c>
    </row>
    <row r="304" spans="1:4" x14ac:dyDescent="0.25">
      <c r="A304" s="1">
        <v>1740</v>
      </c>
      <c r="D304" s="1">
        <v>5620</v>
      </c>
    </row>
    <row r="305" spans="1:4" x14ac:dyDescent="0.25">
      <c r="A305" s="1">
        <v>1820</v>
      </c>
      <c r="D305" s="1">
        <v>5490</v>
      </c>
    </row>
    <row r="306" spans="1:4" x14ac:dyDescent="0.25">
      <c r="A306" s="1">
        <v>1960</v>
      </c>
      <c r="D306" s="1">
        <v>5360</v>
      </c>
    </row>
    <row r="307" spans="1:4" x14ac:dyDescent="0.25">
      <c r="A307" s="1">
        <v>2000</v>
      </c>
      <c r="D307" s="1">
        <v>5230</v>
      </c>
    </row>
    <row r="308" spans="1:4" x14ac:dyDescent="0.25">
      <c r="A308" s="1">
        <v>2050</v>
      </c>
      <c r="D308" s="1">
        <v>5110</v>
      </c>
    </row>
    <row r="309" spans="1:4" x14ac:dyDescent="0.25">
      <c r="A309" s="1">
        <v>2100</v>
      </c>
      <c r="D309" s="1">
        <v>4990</v>
      </c>
    </row>
    <row r="310" spans="1:4" x14ac:dyDescent="0.25">
      <c r="A310" s="1">
        <v>2150</v>
      </c>
      <c r="D310" s="1">
        <v>4870</v>
      </c>
    </row>
    <row r="311" spans="1:4" x14ac:dyDescent="0.25">
      <c r="A311" s="1">
        <v>2210</v>
      </c>
      <c r="D311" s="1">
        <v>4750</v>
      </c>
    </row>
    <row r="312" spans="1:4" x14ac:dyDescent="0.25">
      <c r="A312" s="1">
        <v>2260</v>
      </c>
      <c r="D312" s="1">
        <v>4640</v>
      </c>
    </row>
    <row r="313" spans="1:4" x14ac:dyDescent="0.25">
      <c r="A313" s="1">
        <v>2320</v>
      </c>
      <c r="D313" s="1">
        <v>4520</v>
      </c>
    </row>
    <row r="314" spans="1:4" x14ac:dyDescent="0.25">
      <c r="A314" s="1">
        <v>2370</v>
      </c>
      <c r="D314" s="1">
        <v>4420</v>
      </c>
    </row>
    <row r="315" spans="1:4" x14ac:dyDescent="0.25">
      <c r="A315" s="1">
        <v>2430</v>
      </c>
      <c r="D315" s="1">
        <v>4320</v>
      </c>
    </row>
    <row r="316" spans="1:4" x14ac:dyDescent="0.25">
      <c r="A316" s="1">
        <v>2490</v>
      </c>
      <c r="D316" s="1">
        <v>4240</v>
      </c>
    </row>
    <row r="317" spans="1:4" x14ac:dyDescent="0.25">
      <c r="A317" s="1">
        <v>2550</v>
      </c>
      <c r="D317" s="1">
        <v>4120</v>
      </c>
    </row>
    <row r="318" spans="1:4" x14ac:dyDescent="0.25">
      <c r="A318" s="1">
        <v>2610</v>
      </c>
      <c r="D318" s="1">
        <v>4020</v>
      </c>
    </row>
    <row r="319" spans="1:4" x14ac:dyDescent="0.25">
      <c r="A319" s="1">
        <v>2670</v>
      </c>
      <c r="D319" s="1">
        <v>3920</v>
      </c>
    </row>
    <row r="320" spans="1:4" x14ac:dyDescent="0.25">
      <c r="A320" s="1">
        <v>2740</v>
      </c>
      <c r="D320" s="1">
        <v>3830</v>
      </c>
    </row>
    <row r="321" spans="1:4" x14ac:dyDescent="0.25">
      <c r="A321" s="1">
        <v>2800</v>
      </c>
      <c r="D321" s="1">
        <v>3740</v>
      </c>
    </row>
    <row r="322" spans="1:4" x14ac:dyDescent="0.25">
      <c r="A322" s="1">
        <v>2870</v>
      </c>
      <c r="D322" s="1">
        <v>3650</v>
      </c>
    </row>
    <row r="323" spans="1:4" x14ac:dyDescent="0.25">
      <c r="A323" s="1">
        <v>2940</v>
      </c>
      <c r="D323" s="1">
        <v>3570</v>
      </c>
    </row>
    <row r="324" spans="1:4" x14ac:dyDescent="0.25">
      <c r="A324" s="1">
        <v>3010</v>
      </c>
      <c r="D324" s="1">
        <v>3480</v>
      </c>
    </row>
    <row r="325" spans="1:4" x14ac:dyDescent="0.25">
      <c r="A325" s="1">
        <v>3090</v>
      </c>
      <c r="D325" s="1">
        <v>3400</v>
      </c>
    </row>
    <row r="326" spans="1:4" x14ac:dyDescent="0.25">
      <c r="A326" s="1">
        <v>3160</v>
      </c>
      <c r="D326" s="1">
        <v>3320</v>
      </c>
    </row>
    <row r="327" spans="1:4" x14ac:dyDescent="0.25">
      <c r="A327" s="1">
        <v>3240</v>
      </c>
      <c r="D327" s="1">
        <v>3240</v>
      </c>
    </row>
    <row r="328" spans="1:4" x14ac:dyDescent="0.25">
      <c r="A328" s="1">
        <v>3320</v>
      </c>
      <c r="D328" s="1">
        <v>3160</v>
      </c>
    </row>
    <row r="329" spans="1:4" x14ac:dyDescent="0.25">
      <c r="A329" s="1">
        <v>3400</v>
      </c>
      <c r="D329" s="1">
        <v>3090</v>
      </c>
    </row>
    <row r="330" spans="1:4" x14ac:dyDescent="0.25">
      <c r="A330" s="1">
        <v>3480</v>
      </c>
      <c r="D330" s="1">
        <v>3010</v>
      </c>
    </row>
    <row r="331" spans="1:4" x14ac:dyDescent="0.25">
      <c r="A331" s="1">
        <v>3570</v>
      </c>
      <c r="D331" s="1">
        <v>2940</v>
      </c>
    </row>
    <row r="332" spans="1:4" x14ac:dyDescent="0.25">
      <c r="A332" s="1">
        <v>3650</v>
      </c>
      <c r="D332" s="1">
        <v>2870</v>
      </c>
    </row>
    <row r="333" spans="1:4" x14ac:dyDescent="0.25">
      <c r="A333" s="1">
        <v>3740</v>
      </c>
      <c r="D333" s="1">
        <v>2800</v>
      </c>
    </row>
    <row r="334" spans="1:4" x14ac:dyDescent="0.25">
      <c r="A334" s="1">
        <v>3830</v>
      </c>
      <c r="D334" s="1">
        <v>2740</v>
      </c>
    </row>
    <row r="335" spans="1:4" x14ac:dyDescent="0.25">
      <c r="A335" s="1">
        <v>3920</v>
      </c>
      <c r="D335" s="1">
        <v>2670</v>
      </c>
    </row>
    <row r="336" spans="1:4" x14ac:dyDescent="0.25">
      <c r="A336" s="1">
        <v>4020</v>
      </c>
      <c r="D336" s="1">
        <v>2610</v>
      </c>
    </row>
    <row r="337" spans="1:4" x14ac:dyDescent="0.25">
      <c r="A337" s="1">
        <v>4120</v>
      </c>
      <c r="D337" s="1">
        <v>2550</v>
      </c>
    </row>
    <row r="338" spans="1:4" x14ac:dyDescent="0.25">
      <c r="A338" s="1">
        <v>4240</v>
      </c>
      <c r="D338" s="1">
        <v>2490</v>
      </c>
    </row>
    <row r="339" spans="1:4" x14ac:dyDescent="0.25">
      <c r="A339" s="1">
        <v>4320</v>
      </c>
      <c r="D339" s="1">
        <v>2430</v>
      </c>
    </row>
    <row r="340" spans="1:4" x14ac:dyDescent="0.25">
      <c r="A340" s="1">
        <v>4420</v>
      </c>
      <c r="D340" s="1">
        <v>2370</v>
      </c>
    </row>
    <row r="341" spans="1:4" x14ac:dyDescent="0.25">
      <c r="A341" s="1">
        <v>4520</v>
      </c>
      <c r="D341" s="1">
        <v>2320</v>
      </c>
    </row>
    <row r="342" spans="1:4" x14ac:dyDescent="0.25">
      <c r="A342" s="1">
        <v>4640</v>
      </c>
      <c r="D342" s="1">
        <v>2260</v>
      </c>
    </row>
    <row r="343" spans="1:4" x14ac:dyDescent="0.25">
      <c r="A343" s="1">
        <v>4750</v>
      </c>
      <c r="D343" s="1">
        <v>2210</v>
      </c>
    </row>
    <row r="344" spans="1:4" x14ac:dyDescent="0.25">
      <c r="A344" s="1">
        <v>4870</v>
      </c>
      <c r="D344" s="1">
        <v>2150</v>
      </c>
    </row>
    <row r="345" spans="1:4" x14ac:dyDescent="0.25">
      <c r="A345" s="1">
        <v>4990</v>
      </c>
      <c r="D345" s="1">
        <v>2100</v>
      </c>
    </row>
    <row r="346" spans="1:4" x14ac:dyDescent="0.25">
      <c r="A346" s="1">
        <v>5110</v>
      </c>
      <c r="D346" s="1">
        <v>2050</v>
      </c>
    </row>
    <row r="347" spans="1:4" x14ac:dyDescent="0.25">
      <c r="A347" s="1">
        <v>5230</v>
      </c>
      <c r="D347" s="1">
        <v>2000</v>
      </c>
    </row>
    <row r="348" spans="1:4" x14ac:dyDescent="0.25">
      <c r="A348" s="1">
        <v>5360</v>
      </c>
      <c r="D348" s="1">
        <v>1960</v>
      </c>
    </row>
    <row r="349" spans="1:4" x14ac:dyDescent="0.25">
      <c r="A349" s="1">
        <v>5490</v>
      </c>
      <c r="D349" s="1">
        <v>1820</v>
      </c>
    </row>
    <row r="350" spans="1:4" x14ac:dyDescent="0.25">
      <c r="A350" s="1">
        <v>5620</v>
      </c>
      <c r="D350" s="1">
        <v>1740</v>
      </c>
    </row>
    <row r="351" spans="1:4" x14ac:dyDescent="0.25">
      <c r="A351" s="1">
        <v>5760</v>
      </c>
      <c r="D351" s="1">
        <v>1690</v>
      </c>
    </row>
    <row r="352" spans="1:4" x14ac:dyDescent="0.25">
      <c r="A352" s="1">
        <v>5900</v>
      </c>
      <c r="D352" s="1">
        <v>1650</v>
      </c>
    </row>
    <row r="353" spans="1:4" x14ac:dyDescent="0.25">
      <c r="A353" s="1">
        <v>6040</v>
      </c>
      <c r="D353" s="1">
        <v>1620</v>
      </c>
    </row>
    <row r="354" spans="1:4" x14ac:dyDescent="0.25">
      <c r="A354" s="1">
        <v>6190</v>
      </c>
      <c r="D354" s="1">
        <v>1580</v>
      </c>
    </row>
    <row r="355" spans="1:4" x14ac:dyDescent="0.25">
      <c r="A355" s="1">
        <v>6340</v>
      </c>
      <c r="D355" s="1">
        <v>1540</v>
      </c>
    </row>
    <row r="356" spans="1:4" x14ac:dyDescent="0.25">
      <c r="A356" s="1">
        <v>6490</v>
      </c>
      <c r="D356" s="1">
        <v>1500</v>
      </c>
    </row>
    <row r="357" spans="1:4" x14ac:dyDescent="0.25">
      <c r="A357" s="1">
        <v>6650</v>
      </c>
      <c r="D357" s="1">
        <v>1470</v>
      </c>
    </row>
    <row r="358" spans="1:4" x14ac:dyDescent="0.25">
      <c r="A358" s="1">
        <v>6810</v>
      </c>
      <c r="D358" s="1">
        <v>1430</v>
      </c>
    </row>
    <row r="359" spans="1:4" x14ac:dyDescent="0.25">
      <c r="A359" s="1">
        <v>6980</v>
      </c>
      <c r="D359" s="1">
        <v>1400</v>
      </c>
    </row>
    <row r="360" spans="1:4" x14ac:dyDescent="0.25">
      <c r="A360" s="1">
        <v>7150</v>
      </c>
      <c r="D360" s="1">
        <v>1370</v>
      </c>
    </row>
    <row r="361" spans="1:4" x14ac:dyDescent="0.25">
      <c r="A361" s="1">
        <v>7320</v>
      </c>
      <c r="D361" s="1">
        <v>1330</v>
      </c>
    </row>
    <row r="362" spans="1:4" x14ac:dyDescent="0.25">
      <c r="A362" s="1">
        <v>7500</v>
      </c>
      <c r="D362" s="1">
        <v>1300</v>
      </c>
    </row>
    <row r="363" spans="1:4" x14ac:dyDescent="0.25">
      <c r="A363" s="1">
        <v>7680</v>
      </c>
      <c r="D363" s="1">
        <v>1270</v>
      </c>
    </row>
    <row r="364" spans="1:4" x14ac:dyDescent="0.25">
      <c r="A364" s="1">
        <v>7870</v>
      </c>
      <c r="D364" s="1">
        <v>1240</v>
      </c>
    </row>
    <row r="365" spans="1:4" x14ac:dyDescent="0.25">
      <c r="A365" s="1">
        <v>8060</v>
      </c>
      <c r="D365" s="1">
        <v>1210</v>
      </c>
    </row>
    <row r="366" spans="1:4" x14ac:dyDescent="0.25">
      <c r="A366" s="1">
        <v>8250</v>
      </c>
      <c r="D366" s="1">
        <v>1180</v>
      </c>
    </row>
    <row r="367" spans="1:4" x14ac:dyDescent="0.25">
      <c r="A367" s="1">
        <v>8450</v>
      </c>
      <c r="D367" s="1">
        <v>1150</v>
      </c>
    </row>
    <row r="368" spans="1:4" x14ac:dyDescent="0.25">
      <c r="A368" s="1">
        <v>8660</v>
      </c>
      <c r="D368" s="1">
        <v>1130</v>
      </c>
    </row>
    <row r="369" spans="1:4" x14ac:dyDescent="0.25">
      <c r="A369" s="1">
        <v>8870</v>
      </c>
      <c r="D369" s="1">
        <v>1100</v>
      </c>
    </row>
    <row r="370" spans="1:4" x14ac:dyDescent="0.25">
      <c r="A370" s="1">
        <v>9090</v>
      </c>
      <c r="D370" s="1">
        <v>1070</v>
      </c>
    </row>
    <row r="371" spans="1:4" x14ac:dyDescent="0.25">
      <c r="A371" s="1">
        <v>9310</v>
      </c>
      <c r="D371" s="1">
        <v>1050</v>
      </c>
    </row>
    <row r="372" spans="1:4" x14ac:dyDescent="0.25">
      <c r="A372" s="1">
        <v>9530</v>
      </c>
      <c r="D372" s="1">
        <v>1020</v>
      </c>
    </row>
    <row r="373" spans="1:4" x14ac:dyDescent="0.25">
      <c r="A373" s="1">
        <v>9760</v>
      </c>
      <c r="D373" s="1">
        <v>1000</v>
      </c>
    </row>
    <row r="374" spans="1:4" x14ac:dyDescent="0.25">
      <c r="A374">
        <v>10000</v>
      </c>
      <c r="D374">
        <v>976</v>
      </c>
    </row>
    <row r="375" spans="1:4" x14ac:dyDescent="0.25">
      <c r="A375">
        <v>10200</v>
      </c>
      <c r="D375">
        <v>953</v>
      </c>
    </row>
    <row r="376" spans="1:4" x14ac:dyDescent="0.25">
      <c r="A376">
        <v>10500</v>
      </c>
      <c r="D376">
        <v>931</v>
      </c>
    </row>
    <row r="377" spans="1:4" x14ac:dyDescent="0.25">
      <c r="A377">
        <v>10700</v>
      </c>
      <c r="D377">
        <v>909</v>
      </c>
    </row>
    <row r="378" spans="1:4" x14ac:dyDescent="0.25">
      <c r="A378">
        <v>11000</v>
      </c>
      <c r="D378">
        <v>887</v>
      </c>
    </row>
    <row r="379" spans="1:4" x14ac:dyDescent="0.25">
      <c r="A379">
        <v>11300</v>
      </c>
      <c r="D379">
        <v>866</v>
      </c>
    </row>
    <row r="380" spans="1:4" x14ac:dyDescent="0.25">
      <c r="A380">
        <v>11500</v>
      </c>
      <c r="D380">
        <v>845</v>
      </c>
    </row>
    <row r="381" spans="1:4" x14ac:dyDescent="0.25">
      <c r="A381">
        <v>11800</v>
      </c>
      <c r="D381">
        <v>825</v>
      </c>
    </row>
    <row r="382" spans="1:4" x14ac:dyDescent="0.25">
      <c r="A382">
        <v>12100</v>
      </c>
      <c r="D382">
        <v>806</v>
      </c>
    </row>
    <row r="383" spans="1:4" x14ac:dyDescent="0.25">
      <c r="A383">
        <v>12400</v>
      </c>
      <c r="D383">
        <v>787</v>
      </c>
    </row>
    <row r="384" spans="1:4" x14ac:dyDescent="0.25">
      <c r="A384">
        <v>12700</v>
      </c>
      <c r="D384">
        <v>768</v>
      </c>
    </row>
    <row r="385" spans="1:4" x14ac:dyDescent="0.25">
      <c r="A385">
        <v>13000</v>
      </c>
      <c r="D385">
        <v>750</v>
      </c>
    </row>
    <row r="386" spans="1:4" x14ac:dyDescent="0.25">
      <c r="A386">
        <v>13300</v>
      </c>
      <c r="D386">
        <v>732</v>
      </c>
    </row>
    <row r="387" spans="1:4" x14ac:dyDescent="0.25">
      <c r="A387">
        <v>13700</v>
      </c>
      <c r="D387">
        <v>715</v>
      </c>
    </row>
    <row r="388" spans="1:4" x14ac:dyDescent="0.25">
      <c r="A388">
        <v>14000</v>
      </c>
      <c r="D388">
        <v>698</v>
      </c>
    </row>
    <row r="389" spans="1:4" x14ac:dyDescent="0.25">
      <c r="A389">
        <v>14300</v>
      </c>
      <c r="D389">
        <v>681</v>
      </c>
    </row>
    <row r="390" spans="1:4" x14ac:dyDescent="0.25">
      <c r="A390">
        <v>14700</v>
      </c>
      <c r="D390">
        <v>665</v>
      </c>
    </row>
    <row r="391" spans="1:4" x14ac:dyDescent="0.25">
      <c r="A391">
        <v>15000</v>
      </c>
      <c r="D391">
        <v>649</v>
      </c>
    </row>
    <row r="392" spans="1:4" x14ac:dyDescent="0.25">
      <c r="A392">
        <v>15400</v>
      </c>
      <c r="D392">
        <v>634</v>
      </c>
    </row>
    <row r="393" spans="1:4" x14ac:dyDescent="0.25">
      <c r="A393">
        <v>15800</v>
      </c>
      <c r="D393">
        <v>619</v>
      </c>
    </row>
    <row r="394" spans="1:4" x14ac:dyDescent="0.25">
      <c r="A394">
        <v>16200</v>
      </c>
      <c r="D394">
        <v>604</v>
      </c>
    </row>
    <row r="395" spans="1:4" x14ac:dyDescent="0.25">
      <c r="A395">
        <v>16500</v>
      </c>
      <c r="D395">
        <v>590</v>
      </c>
    </row>
    <row r="396" spans="1:4" x14ac:dyDescent="0.25">
      <c r="A396">
        <v>16900</v>
      </c>
      <c r="D396">
        <v>576</v>
      </c>
    </row>
    <row r="397" spans="1:4" x14ac:dyDescent="0.25">
      <c r="A397">
        <v>17400</v>
      </c>
      <c r="D397">
        <v>562</v>
      </c>
    </row>
    <row r="398" spans="1:4" x14ac:dyDescent="0.25">
      <c r="A398">
        <v>18200</v>
      </c>
      <c r="D398">
        <v>549</v>
      </c>
    </row>
    <row r="399" spans="1:4" x14ac:dyDescent="0.25">
      <c r="A399">
        <v>19600</v>
      </c>
      <c r="D399">
        <v>536</v>
      </c>
    </row>
    <row r="400" spans="1:4" x14ac:dyDescent="0.25">
      <c r="A400">
        <v>20000</v>
      </c>
      <c r="D400">
        <v>523</v>
      </c>
    </row>
    <row r="401" spans="1:4" x14ac:dyDescent="0.25">
      <c r="A401">
        <v>20500</v>
      </c>
      <c r="D401">
        <v>511</v>
      </c>
    </row>
    <row r="402" spans="1:4" x14ac:dyDescent="0.25">
      <c r="A402">
        <v>21000</v>
      </c>
      <c r="D402">
        <v>499</v>
      </c>
    </row>
    <row r="403" spans="1:4" x14ac:dyDescent="0.25">
      <c r="A403">
        <v>21500</v>
      </c>
      <c r="D403">
        <v>487</v>
      </c>
    </row>
    <row r="404" spans="1:4" x14ac:dyDescent="0.25">
      <c r="A404">
        <v>22100</v>
      </c>
      <c r="D404">
        <v>475</v>
      </c>
    </row>
    <row r="405" spans="1:4" x14ac:dyDescent="0.25">
      <c r="A405">
        <v>22600</v>
      </c>
      <c r="D405">
        <v>464</v>
      </c>
    </row>
    <row r="406" spans="1:4" x14ac:dyDescent="0.25">
      <c r="A406">
        <v>23200</v>
      </c>
      <c r="D406">
        <v>452</v>
      </c>
    </row>
    <row r="407" spans="1:4" x14ac:dyDescent="0.25">
      <c r="A407">
        <v>23700</v>
      </c>
      <c r="D407">
        <v>442</v>
      </c>
    </row>
    <row r="408" spans="1:4" x14ac:dyDescent="0.25">
      <c r="A408">
        <v>24300</v>
      </c>
      <c r="D408">
        <v>432</v>
      </c>
    </row>
    <row r="409" spans="1:4" x14ac:dyDescent="0.25">
      <c r="A409">
        <v>24900</v>
      </c>
      <c r="D409">
        <v>424</v>
      </c>
    </row>
    <row r="410" spans="1:4" x14ac:dyDescent="0.25">
      <c r="A410">
        <v>25500</v>
      </c>
      <c r="D410">
        <v>412</v>
      </c>
    </row>
    <row r="411" spans="1:4" x14ac:dyDescent="0.25">
      <c r="A411">
        <v>26100</v>
      </c>
      <c r="D411">
        <v>402</v>
      </c>
    </row>
    <row r="412" spans="1:4" x14ac:dyDescent="0.25">
      <c r="A412">
        <v>26700</v>
      </c>
      <c r="D412">
        <v>392</v>
      </c>
    </row>
    <row r="413" spans="1:4" x14ac:dyDescent="0.25">
      <c r="A413">
        <v>27400</v>
      </c>
      <c r="D413">
        <v>383</v>
      </c>
    </row>
    <row r="414" spans="1:4" x14ac:dyDescent="0.25">
      <c r="A414">
        <v>28000</v>
      </c>
      <c r="D414">
        <v>374</v>
      </c>
    </row>
    <row r="415" spans="1:4" x14ac:dyDescent="0.25">
      <c r="A415">
        <v>28700</v>
      </c>
      <c r="D415">
        <v>365</v>
      </c>
    </row>
    <row r="416" spans="1:4" x14ac:dyDescent="0.25">
      <c r="A416">
        <v>29400</v>
      </c>
      <c r="D416">
        <v>357</v>
      </c>
    </row>
    <row r="417" spans="1:4" x14ac:dyDescent="0.25">
      <c r="A417">
        <v>30100</v>
      </c>
      <c r="D417">
        <v>348</v>
      </c>
    </row>
    <row r="418" spans="1:4" x14ac:dyDescent="0.25">
      <c r="A418">
        <v>30900</v>
      </c>
      <c r="D418">
        <v>340</v>
      </c>
    </row>
    <row r="419" spans="1:4" x14ac:dyDescent="0.25">
      <c r="A419">
        <v>31600</v>
      </c>
      <c r="D419">
        <v>332</v>
      </c>
    </row>
    <row r="420" spans="1:4" x14ac:dyDescent="0.25">
      <c r="A420">
        <v>32400</v>
      </c>
      <c r="D420">
        <v>324</v>
      </c>
    </row>
    <row r="421" spans="1:4" x14ac:dyDescent="0.25">
      <c r="A421">
        <v>33200</v>
      </c>
      <c r="D421">
        <v>316</v>
      </c>
    </row>
    <row r="422" spans="1:4" x14ac:dyDescent="0.25">
      <c r="A422">
        <v>34000</v>
      </c>
      <c r="D422">
        <v>309</v>
      </c>
    </row>
    <row r="423" spans="1:4" x14ac:dyDescent="0.25">
      <c r="A423">
        <v>34800</v>
      </c>
      <c r="D423">
        <v>301</v>
      </c>
    </row>
    <row r="424" spans="1:4" x14ac:dyDescent="0.25">
      <c r="A424">
        <v>35700</v>
      </c>
      <c r="D424">
        <v>294</v>
      </c>
    </row>
    <row r="425" spans="1:4" x14ac:dyDescent="0.25">
      <c r="A425">
        <v>36500</v>
      </c>
      <c r="D425">
        <v>287</v>
      </c>
    </row>
    <row r="426" spans="1:4" x14ac:dyDescent="0.25">
      <c r="A426">
        <v>37400</v>
      </c>
      <c r="D426">
        <v>280</v>
      </c>
    </row>
    <row r="427" spans="1:4" x14ac:dyDescent="0.25">
      <c r="A427">
        <v>38300</v>
      </c>
      <c r="D427">
        <v>274</v>
      </c>
    </row>
    <row r="428" spans="1:4" x14ac:dyDescent="0.25">
      <c r="A428">
        <v>39200</v>
      </c>
      <c r="D428">
        <v>267</v>
      </c>
    </row>
    <row r="429" spans="1:4" x14ac:dyDescent="0.25">
      <c r="A429">
        <v>40200</v>
      </c>
      <c r="D429">
        <v>261</v>
      </c>
    </row>
    <row r="430" spans="1:4" x14ac:dyDescent="0.25">
      <c r="A430">
        <v>41200</v>
      </c>
      <c r="D430">
        <v>255</v>
      </c>
    </row>
    <row r="431" spans="1:4" x14ac:dyDescent="0.25">
      <c r="A431">
        <v>42400</v>
      </c>
      <c r="D431">
        <v>249</v>
      </c>
    </row>
    <row r="432" spans="1:4" x14ac:dyDescent="0.25">
      <c r="A432">
        <v>43200</v>
      </c>
      <c r="D432">
        <v>243</v>
      </c>
    </row>
    <row r="433" spans="1:4" x14ac:dyDescent="0.25">
      <c r="A433">
        <v>44200</v>
      </c>
      <c r="D433">
        <v>237</v>
      </c>
    </row>
    <row r="434" spans="1:4" x14ac:dyDescent="0.25">
      <c r="A434">
        <v>45200</v>
      </c>
      <c r="D434">
        <v>232</v>
      </c>
    </row>
    <row r="435" spans="1:4" x14ac:dyDescent="0.25">
      <c r="A435">
        <v>46400</v>
      </c>
      <c r="D435">
        <v>226</v>
      </c>
    </row>
    <row r="436" spans="1:4" x14ac:dyDescent="0.25">
      <c r="A436">
        <v>47500</v>
      </c>
      <c r="D436">
        <v>221</v>
      </c>
    </row>
    <row r="437" spans="1:4" x14ac:dyDescent="0.25">
      <c r="A437">
        <v>48700</v>
      </c>
      <c r="D437">
        <v>215</v>
      </c>
    </row>
    <row r="438" spans="1:4" x14ac:dyDescent="0.25">
      <c r="A438">
        <v>49900</v>
      </c>
      <c r="D438">
        <v>210</v>
      </c>
    </row>
    <row r="439" spans="1:4" x14ac:dyDescent="0.25">
      <c r="A439">
        <v>51100</v>
      </c>
      <c r="D439">
        <v>205</v>
      </c>
    </row>
    <row r="440" spans="1:4" x14ac:dyDescent="0.25">
      <c r="A440">
        <v>52300</v>
      </c>
      <c r="D440">
        <v>200</v>
      </c>
    </row>
    <row r="441" spans="1:4" x14ac:dyDescent="0.25">
      <c r="A441">
        <v>53600</v>
      </c>
      <c r="D441">
        <v>196</v>
      </c>
    </row>
    <row r="442" spans="1:4" x14ac:dyDescent="0.25">
      <c r="A442">
        <v>54900</v>
      </c>
      <c r="D442">
        <v>182</v>
      </c>
    </row>
    <row r="443" spans="1:4" x14ac:dyDescent="0.25">
      <c r="A443">
        <v>56200</v>
      </c>
      <c r="D443">
        <v>174</v>
      </c>
    </row>
    <row r="444" spans="1:4" x14ac:dyDescent="0.25">
      <c r="A444">
        <v>57600</v>
      </c>
      <c r="D444">
        <v>169</v>
      </c>
    </row>
    <row r="445" spans="1:4" x14ac:dyDescent="0.25">
      <c r="A445">
        <v>59000</v>
      </c>
      <c r="D445">
        <v>165</v>
      </c>
    </row>
    <row r="446" spans="1:4" x14ac:dyDescent="0.25">
      <c r="A446">
        <v>60400</v>
      </c>
      <c r="D446">
        <v>162</v>
      </c>
    </row>
    <row r="447" spans="1:4" x14ac:dyDescent="0.25">
      <c r="A447">
        <v>61900</v>
      </c>
      <c r="D447">
        <v>158</v>
      </c>
    </row>
    <row r="448" spans="1:4" x14ac:dyDescent="0.25">
      <c r="A448">
        <v>63400</v>
      </c>
      <c r="D448">
        <v>154</v>
      </c>
    </row>
    <row r="449" spans="1:4" x14ac:dyDescent="0.25">
      <c r="A449">
        <v>64900</v>
      </c>
      <c r="D449">
        <v>150</v>
      </c>
    </row>
    <row r="450" spans="1:4" x14ac:dyDescent="0.25">
      <c r="A450">
        <v>66500</v>
      </c>
      <c r="D450">
        <v>147</v>
      </c>
    </row>
    <row r="451" spans="1:4" x14ac:dyDescent="0.25">
      <c r="A451">
        <v>68100</v>
      </c>
      <c r="D451">
        <v>143</v>
      </c>
    </row>
    <row r="452" spans="1:4" x14ac:dyDescent="0.25">
      <c r="A452">
        <v>69800</v>
      </c>
      <c r="D452">
        <v>140</v>
      </c>
    </row>
    <row r="453" spans="1:4" x14ac:dyDescent="0.25">
      <c r="A453">
        <v>71500</v>
      </c>
      <c r="D453">
        <v>137</v>
      </c>
    </row>
    <row r="454" spans="1:4" x14ac:dyDescent="0.25">
      <c r="A454">
        <v>73200</v>
      </c>
      <c r="D454">
        <v>133</v>
      </c>
    </row>
    <row r="455" spans="1:4" x14ac:dyDescent="0.25">
      <c r="A455">
        <v>75000</v>
      </c>
      <c r="D455">
        <v>130</v>
      </c>
    </row>
    <row r="456" spans="1:4" x14ac:dyDescent="0.25">
      <c r="A456">
        <v>76800</v>
      </c>
      <c r="D456">
        <v>127</v>
      </c>
    </row>
    <row r="457" spans="1:4" x14ac:dyDescent="0.25">
      <c r="A457">
        <v>78700</v>
      </c>
      <c r="D457">
        <v>124</v>
      </c>
    </row>
    <row r="458" spans="1:4" x14ac:dyDescent="0.25">
      <c r="A458">
        <v>80600</v>
      </c>
      <c r="D458">
        <v>121</v>
      </c>
    </row>
    <row r="459" spans="1:4" x14ac:dyDescent="0.25">
      <c r="A459">
        <v>82500</v>
      </c>
      <c r="D459">
        <v>118</v>
      </c>
    </row>
    <row r="460" spans="1:4" x14ac:dyDescent="0.25">
      <c r="A460">
        <v>84500</v>
      </c>
      <c r="D460">
        <v>115</v>
      </c>
    </row>
    <row r="461" spans="1:4" x14ac:dyDescent="0.25">
      <c r="A461">
        <v>86600</v>
      </c>
      <c r="D461">
        <v>113</v>
      </c>
    </row>
    <row r="462" spans="1:4" x14ac:dyDescent="0.25">
      <c r="A462">
        <v>88700</v>
      </c>
      <c r="D462">
        <v>110</v>
      </c>
    </row>
    <row r="463" spans="1:4" x14ac:dyDescent="0.25">
      <c r="A463">
        <v>90900</v>
      </c>
      <c r="D463">
        <v>107</v>
      </c>
    </row>
    <row r="464" spans="1:4" x14ac:dyDescent="0.25">
      <c r="A464">
        <v>93100</v>
      </c>
      <c r="D464">
        <v>105</v>
      </c>
    </row>
    <row r="465" spans="1:4" x14ac:dyDescent="0.25">
      <c r="A465">
        <v>95300</v>
      </c>
      <c r="D465">
        <v>102</v>
      </c>
    </row>
    <row r="466" spans="1:4" x14ac:dyDescent="0.25">
      <c r="A466">
        <v>97600</v>
      </c>
      <c r="D466">
        <v>100</v>
      </c>
    </row>
    <row r="467" spans="1:4" x14ac:dyDescent="0.25">
      <c r="A467" s="8">
        <v>100000</v>
      </c>
      <c r="D467" s="1">
        <v>97.6</v>
      </c>
    </row>
    <row r="468" spans="1:4" x14ac:dyDescent="0.25">
      <c r="A468" s="8">
        <v>102000</v>
      </c>
      <c r="D468" s="1">
        <v>95.3</v>
      </c>
    </row>
    <row r="469" spans="1:4" x14ac:dyDescent="0.25">
      <c r="A469" s="8">
        <v>105000</v>
      </c>
      <c r="D469" s="1">
        <v>93.1</v>
      </c>
    </row>
    <row r="470" spans="1:4" x14ac:dyDescent="0.25">
      <c r="A470" s="8">
        <v>107000</v>
      </c>
      <c r="D470" s="1">
        <v>90.9</v>
      </c>
    </row>
    <row r="471" spans="1:4" x14ac:dyDescent="0.25">
      <c r="A471" s="8">
        <v>110000</v>
      </c>
      <c r="D471" s="1">
        <v>88.7</v>
      </c>
    </row>
    <row r="472" spans="1:4" x14ac:dyDescent="0.25">
      <c r="A472" s="8">
        <v>113000</v>
      </c>
      <c r="D472" s="1">
        <v>86.6</v>
      </c>
    </row>
    <row r="473" spans="1:4" x14ac:dyDescent="0.25">
      <c r="A473" s="8">
        <v>115000</v>
      </c>
      <c r="D473" s="1">
        <v>84.5</v>
      </c>
    </row>
    <row r="474" spans="1:4" x14ac:dyDescent="0.25">
      <c r="A474" s="8">
        <v>118000</v>
      </c>
      <c r="D474" s="1">
        <v>82.5</v>
      </c>
    </row>
    <row r="475" spans="1:4" x14ac:dyDescent="0.25">
      <c r="A475" s="8">
        <v>121000</v>
      </c>
      <c r="D475" s="1">
        <v>80.599999999999994</v>
      </c>
    </row>
    <row r="476" spans="1:4" x14ac:dyDescent="0.25">
      <c r="A476" s="8">
        <v>124000</v>
      </c>
      <c r="D476" s="1">
        <v>78.7</v>
      </c>
    </row>
    <row r="477" spans="1:4" x14ac:dyDescent="0.25">
      <c r="A477" s="8">
        <v>127000</v>
      </c>
      <c r="D477" s="1">
        <v>76.8</v>
      </c>
    </row>
    <row r="478" spans="1:4" x14ac:dyDescent="0.25">
      <c r="A478" s="8">
        <v>130000</v>
      </c>
      <c r="D478" s="1">
        <v>75</v>
      </c>
    </row>
    <row r="479" spans="1:4" x14ac:dyDescent="0.25">
      <c r="A479" s="8">
        <v>133000</v>
      </c>
      <c r="D479" s="1">
        <v>73.2</v>
      </c>
    </row>
    <row r="480" spans="1:4" x14ac:dyDescent="0.25">
      <c r="A480" s="8">
        <v>137000</v>
      </c>
      <c r="D480" s="1">
        <v>71.5</v>
      </c>
    </row>
    <row r="481" spans="1:4" x14ac:dyDescent="0.25">
      <c r="A481" s="8">
        <v>140000</v>
      </c>
      <c r="D481" s="1">
        <v>69.8</v>
      </c>
    </row>
    <row r="482" spans="1:4" x14ac:dyDescent="0.25">
      <c r="A482" s="8">
        <v>143000</v>
      </c>
      <c r="D482" s="1">
        <v>68.099999999999994</v>
      </c>
    </row>
    <row r="483" spans="1:4" x14ac:dyDescent="0.25">
      <c r="A483" s="8">
        <v>147000</v>
      </c>
      <c r="D483" s="1">
        <v>66.5</v>
      </c>
    </row>
    <row r="484" spans="1:4" x14ac:dyDescent="0.25">
      <c r="A484" s="8">
        <v>150000</v>
      </c>
      <c r="D484" s="1">
        <v>64.900000000000006</v>
      </c>
    </row>
    <row r="485" spans="1:4" x14ac:dyDescent="0.25">
      <c r="A485" s="8">
        <v>154000</v>
      </c>
      <c r="D485" s="1">
        <v>63.4</v>
      </c>
    </row>
    <row r="486" spans="1:4" x14ac:dyDescent="0.25">
      <c r="A486" s="8">
        <v>158000</v>
      </c>
      <c r="D486" s="1">
        <v>61.9</v>
      </c>
    </row>
    <row r="487" spans="1:4" x14ac:dyDescent="0.25">
      <c r="A487" s="8">
        <v>162000</v>
      </c>
      <c r="D487" s="1">
        <v>60.4</v>
      </c>
    </row>
    <row r="488" spans="1:4" x14ac:dyDescent="0.25">
      <c r="A488" s="8">
        <v>165000</v>
      </c>
      <c r="D488" s="1">
        <v>59</v>
      </c>
    </row>
    <row r="489" spans="1:4" x14ac:dyDescent="0.25">
      <c r="A489" s="8">
        <v>169000</v>
      </c>
      <c r="D489" s="1">
        <v>57.6</v>
      </c>
    </row>
    <row r="490" spans="1:4" x14ac:dyDescent="0.25">
      <c r="A490" s="8">
        <v>174000</v>
      </c>
      <c r="D490" s="1">
        <v>56.2</v>
      </c>
    </row>
    <row r="491" spans="1:4" x14ac:dyDescent="0.25">
      <c r="A491" s="8">
        <v>182000</v>
      </c>
      <c r="D491" s="1">
        <v>54.9</v>
      </c>
    </row>
    <row r="492" spans="1:4" x14ac:dyDescent="0.25">
      <c r="A492" s="8">
        <v>196000</v>
      </c>
      <c r="D492" s="1">
        <v>53.6</v>
      </c>
    </row>
    <row r="493" spans="1:4" x14ac:dyDescent="0.25">
      <c r="A493" s="8">
        <v>200000</v>
      </c>
      <c r="D493" s="1">
        <v>52.3</v>
      </c>
    </row>
    <row r="494" spans="1:4" x14ac:dyDescent="0.25">
      <c r="A494" s="8">
        <v>205000</v>
      </c>
      <c r="D494" s="1">
        <v>51.1</v>
      </c>
    </row>
    <row r="495" spans="1:4" x14ac:dyDescent="0.25">
      <c r="A495" s="8">
        <v>210000</v>
      </c>
      <c r="D495" s="1">
        <v>49.9</v>
      </c>
    </row>
    <row r="496" spans="1:4" x14ac:dyDescent="0.25">
      <c r="A496" s="8">
        <v>215000</v>
      </c>
      <c r="D496" s="1">
        <v>48.7</v>
      </c>
    </row>
    <row r="497" spans="1:4" x14ac:dyDescent="0.25">
      <c r="A497" s="8">
        <v>221000</v>
      </c>
      <c r="D497" s="1">
        <v>47.5</v>
      </c>
    </row>
    <row r="498" spans="1:4" x14ac:dyDescent="0.25">
      <c r="A498" s="8">
        <v>226000</v>
      </c>
      <c r="D498" s="1">
        <v>46.4</v>
      </c>
    </row>
    <row r="499" spans="1:4" x14ac:dyDescent="0.25">
      <c r="A499" s="8">
        <v>232000</v>
      </c>
      <c r="D499" s="1">
        <v>45.2</v>
      </c>
    </row>
    <row r="500" spans="1:4" x14ac:dyDescent="0.25">
      <c r="A500" s="8">
        <v>237000</v>
      </c>
      <c r="D500" s="1">
        <v>44.2</v>
      </c>
    </row>
    <row r="501" spans="1:4" x14ac:dyDescent="0.25">
      <c r="A501" s="8">
        <v>243000</v>
      </c>
      <c r="D501" s="1">
        <v>43.2</v>
      </c>
    </row>
    <row r="502" spans="1:4" x14ac:dyDescent="0.25">
      <c r="A502" s="8">
        <v>249000</v>
      </c>
      <c r="D502" s="1">
        <v>42.4</v>
      </c>
    </row>
    <row r="503" spans="1:4" x14ac:dyDescent="0.25">
      <c r="A503" s="8">
        <v>255000</v>
      </c>
      <c r="D503" s="1">
        <v>41.2</v>
      </c>
    </row>
    <row r="504" spans="1:4" x14ac:dyDescent="0.25">
      <c r="A504" s="8">
        <v>261000</v>
      </c>
      <c r="D504" s="1">
        <v>40.200000000000003</v>
      </c>
    </row>
    <row r="505" spans="1:4" x14ac:dyDescent="0.25">
      <c r="A505" s="8">
        <v>267000</v>
      </c>
      <c r="D505" s="1">
        <v>39.200000000000003</v>
      </c>
    </row>
    <row r="506" spans="1:4" x14ac:dyDescent="0.25">
      <c r="A506" s="8">
        <v>274000</v>
      </c>
      <c r="D506" s="1">
        <v>38.299999999999997</v>
      </c>
    </row>
    <row r="507" spans="1:4" x14ac:dyDescent="0.25">
      <c r="A507" s="8">
        <v>280000</v>
      </c>
      <c r="D507" s="1">
        <v>37.4</v>
      </c>
    </row>
    <row r="508" spans="1:4" x14ac:dyDescent="0.25">
      <c r="A508" s="8">
        <v>287000</v>
      </c>
      <c r="D508" s="1">
        <v>36.5</v>
      </c>
    </row>
    <row r="509" spans="1:4" x14ac:dyDescent="0.25">
      <c r="A509" s="8">
        <v>294000</v>
      </c>
      <c r="D509" s="1">
        <v>35.700000000000003</v>
      </c>
    </row>
    <row r="510" spans="1:4" x14ac:dyDescent="0.25">
      <c r="A510" s="8">
        <v>301000</v>
      </c>
      <c r="D510" s="1">
        <v>34.799999999999997</v>
      </c>
    </row>
    <row r="511" spans="1:4" x14ac:dyDescent="0.25">
      <c r="A511" s="8">
        <v>309000</v>
      </c>
      <c r="D511" s="1">
        <v>34</v>
      </c>
    </row>
    <row r="512" spans="1:4" x14ac:dyDescent="0.25">
      <c r="A512" s="8">
        <v>316000</v>
      </c>
      <c r="D512" s="1">
        <v>33.200000000000003</v>
      </c>
    </row>
    <row r="513" spans="1:4" x14ac:dyDescent="0.25">
      <c r="A513" s="8">
        <v>324000</v>
      </c>
      <c r="D513" s="1">
        <v>32.4</v>
      </c>
    </row>
    <row r="514" spans="1:4" x14ac:dyDescent="0.25">
      <c r="A514" s="8">
        <v>332000</v>
      </c>
      <c r="D514" s="1">
        <v>31.6</v>
      </c>
    </row>
    <row r="515" spans="1:4" x14ac:dyDescent="0.25">
      <c r="A515" s="8">
        <v>340000</v>
      </c>
      <c r="D515" s="1">
        <v>30.9</v>
      </c>
    </row>
    <row r="516" spans="1:4" x14ac:dyDescent="0.25">
      <c r="A516" s="8">
        <v>348000</v>
      </c>
      <c r="D516" s="1">
        <v>30.1</v>
      </c>
    </row>
    <row r="517" spans="1:4" x14ac:dyDescent="0.25">
      <c r="A517" s="8">
        <v>357000</v>
      </c>
      <c r="D517" s="1">
        <v>29.4</v>
      </c>
    </row>
    <row r="518" spans="1:4" x14ac:dyDescent="0.25">
      <c r="A518" s="8">
        <v>365000</v>
      </c>
      <c r="D518" s="1">
        <v>28.7</v>
      </c>
    </row>
    <row r="519" spans="1:4" x14ac:dyDescent="0.25">
      <c r="A519" s="8">
        <v>374000</v>
      </c>
      <c r="D519" s="1">
        <v>28</v>
      </c>
    </row>
    <row r="520" spans="1:4" x14ac:dyDescent="0.25">
      <c r="A520" s="8">
        <v>383000</v>
      </c>
      <c r="D520" s="1">
        <v>27.4</v>
      </c>
    </row>
    <row r="521" spans="1:4" x14ac:dyDescent="0.25">
      <c r="A521" s="8">
        <v>392000</v>
      </c>
      <c r="D521" s="1">
        <v>26.7</v>
      </c>
    </row>
    <row r="522" spans="1:4" x14ac:dyDescent="0.25">
      <c r="A522" s="8">
        <v>402000</v>
      </c>
      <c r="D522" s="1">
        <v>26.1</v>
      </c>
    </row>
    <row r="523" spans="1:4" x14ac:dyDescent="0.25">
      <c r="A523" s="8">
        <v>412000</v>
      </c>
      <c r="D523" s="1">
        <v>25.5</v>
      </c>
    </row>
    <row r="524" spans="1:4" x14ac:dyDescent="0.25">
      <c r="A524" s="8">
        <v>424000</v>
      </c>
      <c r="D524" s="1">
        <v>24.9</v>
      </c>
    </row>
    <row r="525" spans="1:4" x14ac:dyDescent="0.25">
      <c r="A525" s="8">
        <v>432000</v>
      </c>
      <c r="D525" s="1">
        <v>24.3</v>
      </c>
    </row>
    <row r="526" spans="1:4" x14ac:dyDescent="0.25">
      <c r="A526" s="8">
        <v>442000</v>
      </c>
      <c r="D526" s="1">
        <v>23.7</v>
      </c>
    </row>
    <row r="527" spans="1:4" x14ac:dyDescent="0.25">
      <c r="A527" s="8">
        <v>452000</v>
      </c>
      <c r="D527" s="1">
        <v>23.2</v>
      </c>
    </row>
    <row r="528" spans="1:4" x14ac:dyDescent="0.25">
      <c r="A528" s="8">
        <v>464000</v>
      </c>
      <c r="D528" s="1">
        <v>22.6</v>
      </c>
    </row>
    <row r="529" spans="1:4" x14ac:dyDescent="0.25">
      <c r="A529" s="8">
        <v>475000</v>
      </c>
      <c r="D529" s="1">
        <v>22.1</v>
      </c>
    </row>
    <row r="530" spans="1:4" x14ac:dyDescent="0.25">
      <c r="A530" s="8">
        <v>487000</v>
      </c>
      <c r="D530" s="1">
        <v>21.5</v>
      </c>
    </row>
    <row r="531" spans="1:4" x14ac:dyDescent="0.25">
      <c r="A531" s="8">
        <v>499000</v>
      </c>
      <c r="D531" s="1">
        <v>21</v>
      </c>
    </row>
    <row r="532" spans="1:4" x14ac:dyDescent="0.25">
      <c r="A532" s="8">
        <v>511000</v>
      </c>
      <c r="D532" s="1">
        <v>20.5</v>
      </c>
    </row>
    <row r="533" spans="1:4" x14ac:dyDescent="0.25">
      <c r="A533" s="8">
        <v>523000</v>
      </c>
      <c r="D533" s="1">
        <v>20</v>
      </c>
    </row>
    <row r="534" spans="1:4" x14ac:dyDescent="0.25">
      <c r="A534" s="8">
        <v>536000</v>
      </c>
      <c r="D534" s="1">
        <v>19.600000000000001</v>
      </c>
    </row>
    <row r="535" spans="1:4" x14ac:dyDescent="0.25">
      <c r="A535" s="8">
        <v>549000</v>
      </c>
      <c r="D535" s="1">
        <v>18.2</v>
      </c>
    </row>
    <row r="536" spans="1:4" x14ac:dyDescent="0.25">
      <c r="A536" s="8">
        <v>562000</v>
      </c>
      <c r="D536" s="1">
        <v>17.399999999999999</v>
      </c>
    </row>
    <row r="537" spans="1:4" x14ac:dyDescent="0.25">
      <c r="A537" s="8">
        <v>576000</v>
      </c>
      <c r="D537" s="1">
        <v>16.899999999999999</v>
      </c>
    </row>
    <row r="538" spans="1:4" x14ac:dyDescent="0.25">
      <c r="A538" s="8">
        <v>590000</v>
      </c>
      <c r="D538" s="1">
        <v>16.5</v>
      </c>
    </row>
    <row r="539" spans="1:4" x14ac:dyDescent="0.25">
      <c r="A539" s="8">
        <v>604000</v>
      </c>
      <c r="D539" s="1">
        <v>16.2</v>
      </c>
    </row>
    <row r="540" spans="1:4" x14ac:dyDescent="0.25">
      <c r="A540" s="8">
        <v>619000</v>
      </c>
      <c r="D540" s="1">
        <v>15.8</v>
      </c>
    </row>
    <row r="541" spans="1:4" x14ac:dyDescent="0.25">
      <c r="A541" s="8">
        <v>634000</v>
      </c>
      <c r="D541" s="1">
        <v>15.4</v>
      </c>
    </row>
    <row r="542" spans="1:4" x14ac:dyDescent="0.25">
      <c r="A542" s="8">
        <v>649000</v>
      </c>
      <c r="D542" s="1">
        <v>15</v>
      </c>
    </row>
    <row r="543" spans="1:4" x14ac:dyDescent="0.25">
      <c r="A543" s="8">
        <v>665000</v>
      </c>
      <c r="D543" s="1">
        <v>14.7</v>
      </c>
    </row>
    <row r="544" spans="1:4" x14ac:dyDescent="0.25">
      <c r="A544" s="8">
        <v>681000</v>
      </c>
      <c r="D544" s="1">
        <v>14.3</v>
      </c>
    </row>
    <row r="545" spans="1:4" x14ac:dyDescent="0.25">
      <c r="A545" s="8">
        <v>698000</v>
      </c>
      <c r="D545" s="1">
        <v>14</v>
      </c>
    </row>
    <row r="546" spans="1:4" x14ac:dyDescent="0.25">
      <c r="A546" s="8">
        <v>715000</v>
      </c>
      <c r="D546" s="1">
        <v>13.7</v>
      </c>
    </row>
    <row r="547" spans="1:4" x14ac:dyDescent="0.25">
      <c r="A547" s="8">
        <v>732000</v>
      </c>
      <c r="D547" s="1">
        <v>13.3</v>
      </c>
    </row>
    <row r="548" spans="1:4" x14ac:dyDescent="0.25">
      <c r="A548" s="8">
        <v>750000</v>
      </c>
      <c r="D548" s="1">
        <v>13</v>
      </c>
    </row>
    <row r="549" spans="1:4" x14ac:dyDescent="0.25">
      <c r="A549" s="8">
        <v>768000</v>
      </c>
      <c r="D549" s="1">
        <v>12.7</v>
      </c>
    </row>
    <row r="550" spans="1:4" x14ac:dyDescent="0.25">
      <c r="A550" s="8">
        <v>787000</v>
      </c>
      <c r="D550" s="1">
        <v>12.4</v>
      </c>
    </row>
    <row r="551" spans="1:4" x14ac:dyDescent="0.25">
      <c r="A551" s="8">
        <v>806000</v>
      </c>
      <c r="D551" s="1">
        <v>12.1</v>
      </c>
    </row>
    <row r="552" spans="1:4" x14ac:dyDescent="0.25">
      <c r="A552" s="8">
        <v>825000</v>
      </c>
      <c r="D552" s="1">
        <v>11.8</v>
      </c>
    </row>
    <row r="553" spans="1:4" x14ac:dyDescent="0.25">
      <c r="A553" s="8">
        <v>845000</v>
      </c>
      <c r="D553" s="1">
        <v>11.5</v>
      </c>
    </row>
    <row r="554" spans="1:4" x14ac:dyDescent="0.25">
      <c r="A554" s="8">
        <v>866000</v>
      </c>
      <c r="D554" s="1">
        <v>11.3</v>
      </c>
    </row>
    <row r="555" spans="1:4" x14ac:dyDescent="0.25">
      <c r="A555" s="8">
        <v>887000</v>
      </c>
      <c r="D555" s="1">
        <v>11</v>
      </c>
    </row>
    <row r="556" spans="1:4" x14ac:dyDescent="0.25">
      <c r="A556" s="8">
        <v>909000</v>
      </c>
      <c r="D556" s="1">
        <v>10.7</v>
      </c>
    </row>
    <row r="557" spans="1:4" x14ac:dyDescent="0.25">
      <c r="A557" s="8">
        <v>931000</v>
      </c>
      <c r="D557" s="1">
        <v>10.5</v>
      </c>
    </row>
    <row r="558" spans="1:4" x14ac:dyDescent="0.25">
      <c r="A558" s="8">
        <v>953000</v>
      </c>
      <c r="D558" s="1">
        <v>10.199999999999999</v>
      </c>
    </row>
    <row r="559" spans="1:4" x14ac:dyDescent="0.25">
      <c r="A559" s="8">
        <v>976000</v>
      </c>
      <c r="D559" s="1">
        <v>10</v>
      </c>
    </row>
    <row r="560" spans="1:4" x14ac:dyDescent="0.25">
      <c r="A560" s="8">
        <v>1000000</v>
      </c>
      <c r="D560">
        <v>9.76</v>
      </c>
    </row>
    <row r="561" spans="1:4" x14ac:dyDescent="0.25">
      <c r="A561" s="8">
        <v>1020000</v>
      </c>
      <c r="D561">
        <v>9.5299999999999994</v>
      </c>
    </row>
    <row r="562" spans="1:4" x14ac:dyDescent="0.25">
      <c r="A562" s="8">
        <v>1050000</v>
      </c>
      <c r="D562">
        <v>9.3099999999999987</v>
      </c>
    </row>
    <row r="563" spans="1:4" x14ac:dyDescent="0.25">
      <c r="A563" s="8">
        <v>1070000</v>
      </c>
      <c r="D563">
        <v>9.09</v>
      </c>
    </row>
    <row r="564" spans="1:4" x14ac:dyDescent="0.25">
      <c r="A564" s="8">
        <v>1100000</v>
      </c>
      <c r="D564">
        <v>8.870000000000001</v>
      </c>
    </row>
    <row r="565" spans="1:4" x14ac:dyDescent="0.25">
      <c r="A565" s="8">
        <v>1130000</v>
      </c>
      <c r="D565">
        <v>8.66</v>
      </c>
    </row>
    <row r="566" spans="1:4" x14ac:dyDescent="0.25">
      <c r="A566" s="8">
        <v>1150000</v>
      </c>
      <c r="D566">
        <v>8.4499999999999993</v>
      </c>
    </row>
    <row r="567" spans="1:4" x14ac:dyDescent="0.25">
      <c r="A567" s="8">
        <v>1180000</v>
      </c>
      <c r="D567">
        <v>8.25</v>
      </c>
    </row>
    <row r="568" spans="1:4" x14ac:dyDescent="0.25">
      <c r="A568" s="8">
        <v>1210000</v>
      </c>
      <c r="D568">
        <v>8.0599999999999987</v>
      </c>
    </row>
    <row r="569" spans="1:4" x14ac:dyDescent="0.25">
      <c r="A569" s="8">
        <v>1240000</v>
      </c>
      <c r="D569">
        <v>7.87</v>
      </c>
    </row>
    <row r="570" spans="1:4" x14ac:dyDescent="0.25">
      <c r="A570" s="8">
        <v>1270000</v>
      </c>
      <c r="D570">
        <v>7.68</v>
      </c>
    </row>
    <row r="571" spans="1:4" x14ac:dyDescent="0.25">
      <c r="A571" s="8">
        <v>1300000</v>
      </c>
      <c r="D571">
        <v>7.5</v>
      </c>
    </row>
    <row r="572" spans="1:4" x14ac:dyDescent="0.25">
      <c r="A572" s="8">
        <v>1330000</v>
      </c>
      <c r="D572">
        <v>7.32</v>
      </c>
    </row>
    <row r="573" spans="1:4" x14ac:dyDescent="0.25">
      <c r="A573" s="8">
        <v>1370000</v>
      </c>
      <c r="D573">
        <v>7.15</v>
      </c>
    </row>
    <row r="574" spans="1:4" x14ac:dyDescent="0.25">
      <c r="A574" s="8">
        <v>1400000</v>
      </c>
      <c r="D574">
        <v>6.9799999999999995</v>
      </c>
    </row>
    <row r="575" spans="1:4" x14ac:dyDescent="0.25">
      <c r="A575" s="8">
        <v>1430000</v>
      </c>
      <c r="D575">
        <v>6.81</v>
      </c>
    </row>
    <row r="576" spans="1:4" x14ac:dyDescent="0.25">
      <c r="A576" s="8">
        <v>1470000</v>
      </c>
      <c r="D576">
        <v>6.65</v>
      </c>
    </row>
    <row r="577" spans="1:4" x14ac:dyDescent="0.25">
      <c r="A577" s="8">
        <v>1500000</v>
      </c>
      <c r="D577">
        <v>6.49</v>
      </c>
    </row>
    <row r="578" spans="1:4" x14ac:dyDescent="0.25">
      <c r="A578" s="8">
        <v>1540000</v>
      </c>
      <c r="D578">
        <v>6.34</v>
      </c>
    </row>
    <row r="579" spans="1:4" x14ac:dyDescent="0.25">
      <c r="A579" s="8">
        <v>1580000</v>
      </c>
      <c r="D579">
        <v>6.1899999999999995</v>
      </c>
    </row>
    <row r="580" spans="1:4" x14ac:dyDescent="0.25">
      <c r="A580" s="8">
        <v>1620000</v>
      </c>
      <c r="D580">
        <v>6.04</v>
      </c>
    </row>
    <row r="581" spans="1:4" x14ac:dyDescent="0.25">
      <c r="A581" s="8">
        <v>1650000</v>
      </c>
      <c r="D581">
        <v>5.9</v>
      </c>
    </row>
    <row r="582" spans="1:4" x14ac:dyDescent="0.25">
      <c r="A582" s="8">
        <v>1690000</v>
      </c>
      <c r="D582">
        <v>5.76</v>
      </c>
    </row>
    <row r="583" spans="1:4" x14ac:dyDescent="0.25">
      <c r="A583" s="8">
        <v>1740000</v>
      </c>
      <c r="D583">
        <v>5.62</v>
      </c>
    </row>
    <row r="584" spans="1:4" x14ac:dyDescent="0.25">
      <c r="A584" s="8">
        <v>1820000</v>
      </c>
      <c r="D584">
        <v>5.49</v>
      </c>
    </row>
    <row r="585" spans="1:4" x14ac:dyDescent="0.25">
      <c r="A585" s="8">
        <v>1960000</v>
      </c>
      <c r="D585">
        <v>5.36</v>
      </c>
    </row>
    <row r="586" spans="1:4" x14ac:dyDescent="0.25">
      <c r="A586" s="8">
        <v>2000000</v>
      </c>
      <c r="D586">
        <v>5.2299999999999995</v>
      </c>
    </row>
    <row r="587" spans="1:4" x14ac:dyDescent="0.25">
      <c r="A587" s="8">
        <v>2050000</v>
      </c>
      <c r="D587">
        <v>5.1100000000000003</v>
      </c>
    </row>
    <row r="588" spans="1:4" x14ac:dyDescent="0.25">
      <c r="A588" s="8">
        <v>2100000</v>
      </c>
      <c r="D588">
        <v>4.99</v>
      </c>
    </row>
    <row r="589" spans="1:4" x14ac:dyDescent="0.25">
      <c r="A589" s="8">
        <v>2150000</v>
      </c>
      <c r="D589">
        <v>4.87</v>
      </c>
    </row>
    <row r="590" spans="1:4" x14ac:dyDescent="0.25">
      <c r="A590" s="8">
        <v>2210000</v>
      </c>
      <c r="D590">
        <v>4.75</v>
      </c>
    </row>
    <row r="591" spans="1:4" x14ac:dyDescent="0.25">
      <c r="A591" s="8">
        <v>2260000</v>
      </c>
      <c r="D591">
        <v>4.6399999999999997</v>
      </c>
    </row>
    <row r="592" spans="1:4" x14ac:dyDescent="0.25">
      <c r="A592" s="8">
        <v>2320000</v>
      </c>
      <c r="D592">
        <v>4.5200000000000005</v>
      </c>
    </row>
    <row r="593" spans="1:4" x14ac:dyDescent="0.25">
      <c r="A593" s="8">
        <v>2370000</v>
      </c>
      <c r="D593">
        <v>4.42</v>
      </c>
    </row>
    <row r="594" spans="1:4" x14ac:dyDescent="0.25">
      <c r="A594" s="8">
        <v>2430000</v>
      </c>
      <c r="D594">
        <v>4.32</v>
      </c>
    </row>
    <row r="595" spans="1:4" x14ac:dyDescent="0.25">
      <c r="A595" s="8">
        <v>2490000</v>
      </c>
      <c r="D595">
        <v>4.24</v>
      </c>
    </row>
    <row r="596" spans="1:4" x14ac:dyDescent="0.25">
      <c r="A596" s="8">
        <v>2550000</v>
      </c>
      <c r="D596">
        <v>4.12</v>
      </c>
    </row>
    <row r="597" spans="1:4" x14ac:dyDescent="0.25">
      <c r="A597" s="8">
        <v>2610000</v>
      </c>
      <c r="D597">
        <v>4.0200000000000005</v>
      </c>
    </row>
    <row r="598" spans="1:4" x14ac:dyDescent="0.25">
      <c r="A598" s="8">
        <v>2670000</v>
      </c>
      <c r="D598">
        <v>3.9200000000000004</v>
      </c>
    </row>
    <row r="599" spans="1:4" x14ac:dyDescent="0.25">
      <c r="A599" s="8">
        <v>2740000</v>
      </c>
      <c r="D599">
        <v>3.8299999999999996</v>
      </c>
    </row>
    <row r="600" spans="1:4" x14ac:dyDescent="0.25">
      <c r="A600" s="8">
        <v>2800000</v>
      </c>
      <c r="D600">
        <v>3.7399999999999998</v>
      </c>
    </row>
    <row r="601" spans="1:4" x14ac:dyDescent="0.25">
      <c r="A601" s="8">
        <v>2870000</v>
      </c>
      <c r="D601">
        <v>3.65</v>
      </c>
    </row>
    <row r="602" spans="1:4" x14ac:dyDescent="0.25">
      <c r="A602" s="8">
        <v>2940000</v>
      </c>
      <c r="D602">
        <v>3.5700000000000003</v>
      </c>
    </row>
    <row r="603" spans="1:4" x14ac:dyDescent="0.25">
      <c r="A603" s="8">
        <v>3010000</v>
      </c>
      <c r="D603">
        <v>3.4799999999999995</v>
      </c>
    </row>
    <row r="604" spans="1:4" x14ac:dyDescent="0.25">
      <c r="A604" s="8">
        <v>3090000</v>
      </c>
      <c r="D604">
        <v>3.4</v>
      </c>
    </row>
    <row r="605" spans="1:4" x14ac:dyDescent="0.25">
      <c r="A605" s="8">
        <v>3160000</v>
      </c>
      <c r="D605">
        <v>3.3200000000000003</v>
      </c>
    </row>
    <row r="606" spans="1:4" x14ac:dyDescent="0.25">
      <c r="A606" s="8">
        <v>3240000</v>
      </c>
      <c r="D606">
        <v>3.2399999999999998</v>
      </c>
    </row>
    <row r="607" spans="1:4" x14ac:dyDescent="0.25">
      <c r="A607" s="8">
        <v>3320000</v>
      </c>
      <c r="D607">
        <v>3.16</v>
      </c>
    </row>
    <row r="608" spans="1:4" x14ac:dyDescent="0.25">
      <c r="A608" s="8">
        <v>3400000</v>
      </c>
      <c r="D608">
        <v>3.09</v>
      </c>
    </row>
    <row r="609" spans="1:4" x14ac:dyDescent="0.25">
      <c r="A609" s="8">
        <v>3480000</v>
      </c>
      <c r="D609">
        <v>3.0100000000000002</v>
      </c>
    </row>
    <row r="610" spans="1:4" x14ac:dyDescent="0.25">
      <c r="A610" s="8">
        <v>3570000</v>
      </c>
      <c r="D610">
        <v>2.94</v>
      </c>
    </row>
    <row r="611" spans="1:4" x14ac:dyDescent="0.25">
      <c r="A611" s="8">
        <v>3650000</v>
      </c>
      <c r="D611">
        <v>2.87</v>
      </c>
    </row>
    <row r="612" spans="1:4" x14ac:dyDescent="0.25">
      <c r="A612" s="8">
        <v>3740000</v>
      </c>
      <c r="D612">
        <v>2.8</v>
      </c>
    </row>
    <row r="613" spans="1:4" x14ac:dyDescent="0.25">
      <c r="A613" s="8">
        <v>3830000</v>
      </c>
      <c r="D613">
        <v>2.7399999999999998</v>
      </c>
    </row>
    <row r="614" spans="1:4" x14ac:dyDescent="0.25">
      <c r="A614" s="8">
        <v>3920000</v>
      </c>
      <c r="D614">
        <v>2.67</v>
      </c>
    </row>
    <row r="615" spans="1:4" x14ac:dyDescent="0.25">
      <c r="A615" s="8">
        <v>4020000</v>
      </c>
      <c r="D615">
        <v>2.6100000000000003</v>
      </c>
    </row>
    <row r="616" spans="1:4" x14ac:dyDescent="0.25">
      <c r="A616" s="8">
        <v>4120000</v>
      </c>
      <c r="D616">
        <v>2.5499999999999998</v>
      </c>
    </row>
    <row r="617" spans="1:4" x14ac:dyDescent="0.25">
      <c r="A617" s="8">
        <v>4240000</v>
      </c>
      <c r="D617">
        <v>2.4899999999999998</v>
      </c>
    </row>
    <row r="618" spans="1:4" x14ac:dyDescent="0.25">
      <c r="A618" s="8">
        <v>4320000</v>
      </c>
      <c r="D618">
        <v>2.4300000000000002</v>
      </c>
    </row>
    <row r="619" spans="1:4" x14ac:dyDescent="0.25">
      <c r="A619" s="8">
        <v>4420000</v>
      </c>
      <c r="D619">
        <v>2.37</v>
      </c>
    </row>
    <row r="620" spans="1:4" x14ac:dyDescent="0.25">
      <c r="A620" s="8">
        <v>4520000</v>
      </c>
      <c r="D620">
        <v>2.3199999999999998</v>
      </c>
    </row>
    <row r="621" spans="1:4" x14ac:dyDescent="0.25">
      <c r="A621" s="8">
        <v>4640000</v>
      </c>
      <c r="D621">
        <v>2.2600000000000002</v>
      </c>
    </row>
    <row r="622" spans="1:4" x14ac:dyDescent="0.25">
      <c r="A622" s="8">
        <v>4750000</v>
      </c>
      <c r="D622">
        <v>2.21</v>
      </c>
    </row>
    <row r="623" spans="1:4" x14ac:dyDescent="0.25">
      <c r="A623" s="8">
        <v>4870000</v>
      </c>
      <c r="D623">
        <v>2.15</v>
      </c>
    </row>
    <row r="624" spans="1:4" x14ac:dyDescent="0.25">
      <c r="A624" s="8">
        <v>4990000</v>
      </c>
      <c r="D624">
        <v>2.1</v>
      </c>
    </row>
    <row r="625" spans="1:4" x14ac:dyDescent="0.25">
      <c r="A625" s="8">
        <v>5110000</v>
      </c>
      <c r="D625">
        <v>2.0499999999999998</v>
      </c>
    </row>
    <row r="626" spans="1:4" x14ac:dyDescent="0.25">
      <c r="A626" s="8">
        <v>5230000</v>
      </c>
      <c r="D626">
        <v>2</v>
      </c>
    </row>
    <row r="627" spans="1:4" x14ac:dyDescent="0.25">
      <c r="A627" s="8">
        <v>5360000</v>
      </c>
      <c r="D627">
        <v>1.9600000000000002</v>
      </c>
    </row>
    <row r="628" spans="1:4" x14ac:dyDescent="0.25">
      <c r="A628" s="8">
        <v>5490000</v>
      </c>
      <c r="D628">
        <v>1.8199999999999998</v>
      </c>
    </row>
    <row r="629" spans="1:4" x14ac:dyDescent="0.25">
      <c r="A629" s="8">
        <v>5620000</v>
      </c>
      <c r="D629">
        <v>1.7399999999999998</v>
      </c>
    </row>
    <row r="630" spans="1:4" x14ac:dyDescent="0.25">
      <c r="A630" s="8">
        <v>5760000</v>
      </c>
      <c r="D630">
        <v>1.69</v>
      </c>
    </row>
    <row r="631" spans="1:4" x14ac:dyDescent="0.25">
      <c r="A631" s="8">
        <v>5900000</v>
      </c>
      <c r="D631">
        <v>1.65</v>
      </c>
    </row>
    <row r="632" spans="1:4" x14ac:dyDescent="0.25">
      <c r="A632" s="8">
        <v>6040000</v>
      </c>
      <c r="D632">
        <v>1.6199999999999999</v>
      </c>
    </row>
    <row r="633" spans="1:4" x14ac:dyDescent="0.25">
      <c r="A633" s="8">
        <v>6190000</v>
      </c>
      <c r="D633">
        <v>1.58</v>
      </c>
    </row>
    <row r="634" spans="1:4" x14ac:dyDescent="0.25">
      <c r="A634" s="8">
        <v>6340000</v>
      </c>
      <c r="D634">
        <v>1.54</v>
      </c>
    </row>
    <row r="635" spans="1:4" x14ac:dyDescent="0.25">
      <c r="A635" s="8">
        <v>6490000</v>
      </c>
      <c r="D635">
        <v>1.5</v>
      </c>
    </row>
    <row r="636" spans="1:4" x14ac:dyDescent="0.25">
      <c r="A636" s="8">
        <v>6650000</v>
      </c>
      <c r="D636">
        <v>1.47</v>
      </c>
    </row>
    <row r="637" spans="1:4" x14ac:dyDescent="0.25">
      <c r="A637" s="8">
        <v>6810000</v>
      </c>
      <c r="D637">
        <v>1.4300000000000002</v>
      </c>
    </row>
    <row r="638" spans="1:4" x14ac:dyDescent="0.25">
      <c r="A638" s="8">
        <v>6980000</v>
      </c>
      <c r="D638">
        <v>1.4</v>
      </c>
    </row>
    <row r="639" spans="1:4" x14ac:dyDescent="0.25">
      <c r="A639" s="8">
        <v>7150000</v>
      </c>
      <c r="D639">
        <v>1.3699999999999999</v>
      </c>
    </row>
    <row r="640" spans="1:4" x14ac:dyDescent="0.25">
      <c r="A640" s="8">
        <v>7320000</v>
      </c>
      <c r="D640">
        <v>1.33</v>
      </c>
    </row>
    <row r="641" spans="1:4" x14ac:dyDescent="0.25">
      <c r="A641" s="8">
        <v>7500000</v>
      </c>
      <c r="D641">
        <v>1.3</v>
      </c>
    </row>
    <row r="642" spans="1:4" x14ac:dyDescent="0.25">
      <c r="A642" s="8">
        <v>7680000</v>
      </c>
      <c r="D642">
        <v>1.27</v>
      </c>
    </row>
    <row r="643" spans="1:4" x14ac:dyDescent="0.25">
      <c r="A643" s="8">
        <v>7870000</v>
      </c>
      <c r="D643">
        <v>1.24</v>
      </c>
    </row>
    <row r="644" spans="1:4" x14ac:dyDescent="0.25">
      <c r="A644" s="8">
        <v>8060000</v>
      </c>
      <c r="D644">
        <v>1.21</v>
      </c>
    </row>
    <row r="645" spans="1:4" x14ac:dyDescent="0.25">
      <c r="A645" s="8">
        <v>8250000</v>
      </c>
      <c r="D645">
        <v>1.1800000000000002</v>
      </c>
    </row>
    <row r="646" spans="1:4" x14ac:dyDescent="0.25">
      <c r="A646" s="8">
        <v>8450000</v>
      </c>
      <c r="D646">
        <v>1.1499999999999999</v>
      </c>
    </row>
    <row r="647" spans="1:4" x14ac:dyDescent="0.25">
      <c r="A647" s="8">
        <v>8660000</v>
      </c>
      <c r="D647">
        <v>1.1300000000000001</v>
      </c>
    </row>
    <row r="648" spans="1:4" x14ac:dyDescent="0.25">
      <c r="A648" s="8">
        <v>8870000</v>
      </c>
      <c r="D648">
        <v>1.1000000000000001</v>
      </c>
    </row>
    <row r="649" spans="1:4" x14ac:dyDescent="0.25">
      <c r="A649" s="8">
        <v>9090000</v>
      </c>
      <c r="D649">
        <v>1.0699999999999998</v>
      </c>
    </row>
    <row r="650" spans="1:4" x14ac:dyDescent="0.25">
      <c r="A650" s="8">
        <v>9310000</v>
      </c>
      <c r="D650">
        <v>1.05</v>
      </c>
    </row>
    <row r="651" spans="1:4" x14ac:dyDescent="0.25">
      <c r="A651" s="8">
        <v>9530000</v>
      </c>
      <c r="D651">
        <v>1.02</v>
      </c>
    </row>
    <row r="652" spans="1:4" x14ac:dyDescent="0.25">
      <c r="A652" s="8">
        <v>9760000</v>
      </c>
      <c r="D652">
        <v>1</v>
      </c>
    </row>
    <row r="653" spans="1:4" x14ac:dyDescent="0.25">
      <c r="A653" s="1"/>
    </row>
    <row r="654" spans="1:4" x14ac:dyDescent="0.25">
      <c r="A654" s="1"/>
    </row>
    <row r="655" spans="1:4" x14ac:dyDescent="0.25">
      <c r="A655" s="1"/>
    </row>
    <row r="656" spans="1:4"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sheetData>
  <sheetProtection password="DADE" sheet="1" objects="1" scenarios="1"/>
  <sortState ref="E2:I169">
    <sortCondition descending="1" ref="I2:I1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ShuntCalc</vt:lpstr>
      <vt:lpstr>Rs</vt:lpstr>
    </vt:vector>
  </TitlesOfParts>
  <Company>Texas Instruments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Dean, Christopher</dc:creator>
  <cp:lastModifiedBy>Dean, Christopher</cp:lastModifiedBy>
  <dcterms:created xsi:type="dcterms:W3CDTF">2015-02-19T19:51:51Z</dcterms:created>
  <dcterms:modified xsi:type="dcterms:W3CDTF">2015-12-04T14:54:07Z</dcterms:modified>
</cp:coreProperties>
</file>